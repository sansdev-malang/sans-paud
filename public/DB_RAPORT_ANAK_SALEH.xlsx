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Users" sheetId="1" r:id="rId4"/>
    <sheet state="visible" name="DB_Murid" sheetId="2" r:id="rId5"/>
    <sheet state="visible" name="DB_Kelompok" sheetId="3" r:id="rId6"/>
    <sheet state="visible" name="DB_TahunAjaran" sheetId="4" r:id="rId7"/>
    <sheet state="visible" name="DB_Raport" sheetId="5" r:id="rId8"/>
    <sheet state="visible" name="DB_LogAktivitas" sheetId="6" r:id="rId9"/>
  </sheets>
  <definedNames/>
  <calcPr/>
  <extLst>
    <ext uri="GoogleSheetsCustomDataVersion2">
      <go:sheetsCustomData xmlns:go="http://customooxmlschemas.google.com/" r:id="rId10" roundtripDataChecksum="68Ydp+Bq2eEQzGJkvjEev6JEd+JmPeAW40Mdcb07rq8="/>
    </ext>
  </extLst>
</workbook>
</file>

<file path=xl/sharedStrings.xml><?xml version="1.0" encoding="utf-8"?>
<sst xmlns="http://schemas.openxmlformats.org/spreadsheetml/2006/main" count="2203" uniqueCount="1109">
  <si>
    <t>ID_Kelompok</t>
  </si>
  <si>
    <t>ID_User</t>
  </si>
  <si>
    <t>NIS</t>
  </si>
  <si>
    <t>ID_TahunAjaran</t>
  </si>
  <si>
    <t>Nama_Kelompok</t>
  </si>
  <si>
    <t>Jenjang</t>
  </si>
  <si>
    <t>ID_Wali_Kelas</t>
  </si>
  <si>
    <t>Nama_Wali_Kelas</t>
  </si>
  <si>
    <t>Kapasitas</t>
  </si>
  <si>
    <t>Tahun_Ajaran</t>
  </si>
  <si>
    <t>Username</t>
  </si>
  <si>
    <t>Status</t>
  </si>
  <si>
    <t>Password</t>
  </si>
  <si>
    <t>Timestamp</t>
  </si>
  <si>
    <t>Nama_Lengkap</t>
  </si>
  <si>
    <t>Role</t>
  </si>
  <si>
    <t>Kelompok_Diampu</t>
  </si>
  <si>
    <t>TK A1</t>
  </si>
  <si>
    <t>Nama_Panggilan</t>
  </si>
  <si>
    <t>Jenis_Kelamin</t>
  </si>
  <si>
    <t>TK-A1</t>
  </si>
  <si>
    <t>Tempat_Lahir</t>
  </si>
  <si>
    <t>Kontak_WA</t>
  </si>
  <si>
    <t>PG A</t>
  </si>
  <si>
    <t>Tanggal_Lahir</t>
  </si>
  <si>
    <t>Nama_Ayah</t>
  </si>
  <si>
    <t>2026/2027</t>
  </si>
  <si>
    <t>Nama_Ibu</t>
  </si>
  <si>
    <t>AKTIF</t>
  </si>
  <si>
    <t>Kontak_Ortu</t>
  </si>
  <si>
    <t>USR-ADM-01</t>
  </si>
  <si>
    <t>Status_Murid</t>
  </si>
  <si>
    <t>admin</t>
  </si>
  <si>
    <t>Alamat</t>
  </si>
  <si>
    <t>admin123</t>
  </si>
  <si>
    <t>PIN_Akses</t>
  </si>
  <si>
    <t>Administrator PAUD</t>
  </si>
  <si>
    <t>ADMIN</t>
  </si>
  <si>
    <t>SEMUA</t>
  </si>
  <si>
    <t>ANGKASA RANU AYDIN</t>
  </si>
  <si>
    <t>RANU</t>
  </si>
  <si>
    <t>L</t>
  </si>
  <si>
    <t>KB-A</t>
  </si>
  <si>
    <t>KB A1</t>
  </si>
  <si>
    <t>Malang</t>
  </si>
  <si>
    <t>TK A2</t>
  </si>
  <si>
    <t>Nama_Tahun</t>
  </si>
  <si>
    <t>TK-A2</t>
  </si>
  <si>
    <t>24/01/2023</t>
  </si>
  <si>
    <t>USR-KPS-01</t>
  </si>
  <si>
    <t>Semester</t>
  </si>
  <si>
    <t>Daycare</t>
  </si>
  <si>
    <t>kepsek</t>
  </si>
  <si>
    <t>USR-GUR-02</t>
  </si>
  <si>
    <t>kepsek123</t>
  </si>
  <si>
    <t>Status_Aktif</t>
  </si>
  <si>
    <t>Bunda Fatimah Az-Zahra, S.Pd.</t>
  </si>
  <si>
    <t>Dra. Hj. Mike Supraptiwi, S.Psi, M.Pd</t>
  </si>
  <si>
    <t>Status_Akses_Ortu</t>
  </si>
  <si>
    <t>KEPSEK</t>
  </si>
  <si>
    <t>Tanggal_Mulai</t>
  </si>
  <si>
    <t>Tanggal_Selesai</t>
  </si>
  <si>
    <t>TK-A3</t>
  </si>
  <si>
    <t>ELKANA ISHAK ZAKHARIAS EMMANUEL RUDY</t>
  </si>
  <si>
    <t>VINNA RAHMAYANTI SETYANING NASTITI</t>
  </si>
  <si>
    <t>TK-B3</t>
  </si>
  <si>
    <t>08123306603</t>
  </si>
  <si>
    <t>TK-A4</t>
  </si>
  <si>
    <t>JALAN BENDUNGAN RIAM KANAN NO 4</t>
  </si>
  <si>
    <t>TA-2025-2026-1</t>
  </si>
  <si>
    <t>Ganjil</t>
  </si>
  <si>
    <t>DANIA ALMAHIRA PRASTYO</t>
  </si>
  <si>
    <t>TK-B1</t>
  </si>
  <si>
    <t>USR-GUR-01</t>
  </si>
  <si>
    <t>DIBUKA</t>
  </si>
  <si>
    <t>ALMA</t>
  </si>
  <si>
    <t>P</t>
  </si>
  <si>
    <t>KB-B2</t>
  </si>
  <si>
    <t>TK-B4</t>
  </si>
  <si>
    <t>18/12/2023</t>
  </si>
  <si>
    <t>GUYUP AJI PRASTYO</t>
  </si>
  <si>
    <t>KB-B3</t>
  </si>
  <si>
    <t>ANIS AMILIA</t>
  </si>
  <si>
    <t>KB-A1</t>
  </si>
  <si>
    <t>Jl. Rebab</t>
  </si>
  <si>
    <t>KB-B1</t>
  </si>
  <si>
    <t>DARREN MAHENDRA ALFARIZQI</t>
  </si>
  <si>
    <t>TPA-2</t>
  </si>
  <si>
    <t>DARREN (DEREN)</t>
  </si>
  <si>
    <t>TK-B2</t>
  </si>
  <si>
    <t>TPA-1</t>
  </si>
  <si>
    <t>23/10/2023</t>
  </si>
  <si>
    <t>NOKA FERIKA SUBIYANTO</t>
  </si>
  <si>
    <t>RATNA ARDIYANTI</t>
  </si>
  <si>
    <t>TPA-3</t>
  </si>
  <si>
    <t>Kutilang</t>
  </si>
  <si>
    <t>TPQ</t>
  </si>
  <si>
    <t>ELZAFRAN ABIDZAR AVICENNA</t>
  </si>
  <si>
    <t>ELZAF</t>
  </si>
  <si>
    <t>KB-A2</t>
  </si>
  <si>
    <t>1 Oktober 2023</t>
  </si>
  <si>
    <t>KASHAFA MUHAMMAD NADHIR ASY SYAMIL</t>
  </si>
  <si>
    <t>KASHAFA (KAFA)</t>
  </si>
  <si>
    <t>guru123</t>
  </si>
  <si>
    <t>Fauzia Faricha, S.Pd, S.Pd</t>
  </si>
  <si>
    <t>MALANG</t>
  </si>
  <si>
    <t>WALI_KELAS</t>
  </si>
  <si>
    <t>29/09/2023</t>
  </si>
  <si>
    <t>RAHMADIN WIDYA NURCAHYO</t>
  </si>
  <si>
    <t>NOVA NUR KHASANAH</t>
  </si>
  <si>
    <t>GRAND TRIO RESIDENCE BLOK D2 JL. SARI KERTO</t>
  </si>
  <si>
    <t>MUHAMMAD EMIR SHINE SRENGENGE</t>
  </si>
  <si>
    <t>EMIR</t>
  </si>
  <si>
    <t>Martdiyah, S.Pd, S.Psi</t>
  </si>
  <si>
    <t>NUR MUHAMMAD AQUANA AKHSANUL HUDA</t>
  </si>
  <si>
    <t>OKTAVIA GALI PERMATASARI</t>
  </si>
  <si>
    <t>JL BOLA VOLY NO. 16</t>
  </si>
  <si>
    <t>RAMONA KHANSA SAMIRA</t>
  </si>
  <si>
    <t>MONA</t>
  </si>
  <si>
    <t>USR-GUR-03</t>
  </si>
  <si>
    <t>RAHMATAN LIL ALAMIN</t>
  </si>
  <si>
    <t>NEFITA TIARA RISKA</t>
  </si>
  <si>
    <t>Jl danau maninjau barat b1 a47</t>
  </si>
  <si>
    <t>Alfi Azizah, S.Ag, S.Pd</t>
  </si>
  <si>
    <t>SALSABILA SHAIQA ZAINA</t>
  </si>
  <si>
    <t>SALSA</t>
  </si>
  <si>
    <t>USR-GUR-04</t>
  </si>
  <si>
    <t>Kota Malang</t>
  </si>
  <si>
    <t>BAGUS HERMANTO</t>
  </si>
  <si>
    <t>Endriyanti Kumalasari, S.P, S.Pd</t>
  </si>
  <si>
    <t>LINDA OKTADIANA</t>
  </si>
  <si>
    <t>USR-GUR-05</t>
  </si>
  <si>
    <t>Kholilah, S.Ag, S.Psi</t>
  </si>
  <si>
    <t>USR-GUR-06</t>
  </si>
  <si>
    <t>Araya lotus valley no 61</t>
  </si>
  <si>
    <t>SHAFIYYAH UMAIZA</t>
  </si>
  <si>
    <t>SHAFIYYAH / VIA</t>
  </si>
  <si>
    <t>Novita Rokhmawati, S.Pd, S.Pd</t>
  </si>
  <si>
    <t>USR-GUR-07</t>
  </si>
  <si>
    <t>GALIH PRADIPTO</t>
  </si>
  <si>
    <t>MELATI HARDIYANTI</t>
  </si>
  <si>
    <t>Ermia Widayanti, S. Pd, M.Pd</t>
  </si>
  <si>
    <t>Perum de prima c15</t>
  </si>
  <si>
    <t>USR-GUR-08</t>
  </si>
  <si>
    <t>SHANUM FATIMAH AZ ZAHRA</t>
  </si>
  <si>
    <t>SHANUM</t>
  </si>
  <si>
    <t>19/09/2023</t>
  </si>
  <si>
    <t>HIDAYAT</t>
  </si>
  <si>
    <t>UNIEKE AYU FATICHA SARI</t>
  </si>
  <si>
    <t>Susy Suryani, S.Si</t>
  </si>
  <si>
    <t>Jl. KH Moh. Rowi</t>
  </si>
  <si>
    <t>USR-GUR-09</t>
  </si>
  <si>
    <t>AFRIN SYANUM NUR RAHMAH</t>
  </si>
  <si>
    <t>SYANUM</t>
  </si>
  <si>
    <t>KB A2</t>
  </si>
  <si>
    <t>NURUL AKHYAR</t>
  </si>
  <si>
    <t>Septi Ismawiyanti, S.Pd</t>
  </si>
  <si>
    <t>RAHMAWATI FIJRIANI</t>
  </si>
  <si>
    <t>Jl alumunium 24 purwantoro blimbing kota malang</t>
  </si>
  <si>
    <t>USR-GUR-10</t>
  </si>
  <si>
    <t>Lilis Rachmawati, S.Psi</t>
  </si>
  <si>
    <t>ARSYLA ALTHAFIONA ZEIN FARADISA</t>
  </si>
  <si>
    <t>ARSYLA</t>
  </si>
  <si>
    <t>USR-GUR-11</t>
  </si>
  <si>
    <t>Linda Romadhona, S.Pd</t>
  </si>
  <si>
    <t>KOTA MALANG</t>
  </si>
  <si>
    <t>ALAN DWI ZEIN NUR YUNUS</t>
  </si>
  <si>
    <t>085815576257/081330725305</t>
  </si>
  <si>
    <t>ARAS HIDAYATI LIANANDA</t>
  </si>
  <si>
    <t>USR-GUR-12</t>
  </si>
  <si>
    <t>JL. TLOGO SURYO NO 28</t>
  </si>
  <si>
    <t>AZKIYA RAISHA HUWAINA</t>
  </si>
  <si>
    <t>Rahayu Dwi Widyanti</t>
  </si>
  <si>
    <t>AZKIYA</t>
  </si>
  <si>
    <t>USR-GUR-13</t>
  </si>
  <si>
    <t>ALIF KHAIRUR RIZQI</t>
  </si>
  <si>
    <t>ALIEF PRADITA ANANDA</t>
  </si>
  <si>
    <t>PERUMAHAN GRIYASHANTA</t>
  </si>
  <si>
    <t>Evi Dwi Jayanti, S.Psi</t>
  </si>
  <si>
    <t>DYGTA ARYA KAMANDANU</t>
  </si>
  <si>
    <t>DYGTA</t>
  </si>
  <si>
    <t>USR-GUR-14</t>
  </si>
  <si>
    <t>DODIET ARYA MAHENDRA</t>
  </si>
  <si>
    <t>RIFANA SEKAR LARASATI</t>
  </si>
  <si>
    <t>Perumahan Grand Arumba blok i-12</t>
  </si>
  <si>
    <t>Diah Irawati, A.Md.Keb.</t>
  </si>
  <si>
    <t>EDGARDO ARRASY ACHMAD ZUHHAD</t>
  </si>
  <si>
    <t>EDGAR</t>
  </si>
  <si>
    <t>USR-GUR-15</t>
  </si>
  <si>
    <t>26/06/2023</t>
  </si>
  <si>
    <t>M IQBAL ZUHHAD</t>
  </si>
  <si>
    <t>WARDANIA ISNA ROMADHINA</t>
  </si>
  <si>
    <t>JL RAYA KAUMAN NO 24</t>
  </si>
  <si>
    <t>Risty Dwi Rahmawati, S.Psi</t>
  </si>
  <si>
    <t>FIDELIA AMNA MAEZURRA</t>
  </si>
  <si>
    <t>FIDEL</t>
  </si>
  <si>
    <t>USR-GUR-16</t>
  </si>
  <si>
    <t>24/05/2024</t>
  </si>
  <si>
    <t>FUAD AZHAR MUSIRAN</t>
  </si>
  <si>
    <t>DINA KAMELIA</t>
  </si>
  <si>
    <t>Jl. Simpang Widara I No. 4B</t>
  </si>
  <si>
    <t>MUHAMMAD DZIKRI ALFAREZEL</t>
  </si>
  <si>
    <t>Naimatul Khoiriyah</t>
  </si>
  <si>
    <t>DZIKRI</t>
  </si>
  <si>
    <t>USR-GUR-17</t>
  </si>
  <si>
    <t>13/04/2024</t>
  </si>
  <si>
    <t>MOHAMAD FAUZI SETIAWAN</t>
  </si>
  <si>
    <t>DESTY ARIANI MUTIARA</t>
  </si>
  <si>
    <t>Jln Intan X, Perumahan Griya Permata Alam Blok JJ no 28</t>
  </si>
  <si>
    <t>MUHAMMAD REI FARZHAN AL FATH</t>
  </si>
  <si>
    <t>REI</t>
  </si>
  <si>
    <t>MUHAMMAD REZA DHIA JAUHAR RAHMATULLAH</t>
  </si>
  <si>
    <t>FINA PUSPITASARI</t>
  </si>
  <si>
    <t>Jl. Teluk Grajakan no.4</t>
  </si>
  <si>
    <t>SALMA ALESHA</t>
  </si>
  <si>
    <t>SALMA</t>
  </si>
  <si>
    <t>SANDRA IRAWAN</t>
  </si>
  <si>
    <t>NUR RISKY MARSA ROMADHONA</t>
  </si>
  <si>
    <t>JL SIMPANG AKORDION NO 51 MALANG</t>
  </si>
  <si>
    <t>ALMAHYRA KAMILA RAHARJA</t>
  </si>
  <si>
    <t>MAHYRA</t>
  </si>
  <si>
    <t>KB-B</t>
  </si>
  <si>
    <t>KB B1</t>
  </si>
  <si>
    <t>BUDI RAHARJA</t>
  </si>
  <si>
    <t>FARCHANA MAULIDIA</t>
  </si>
  <si>
    <t>Jl. raya sekarputih suwaluhan karangploso</t>
  </si>
  <si>
    <t>ALYA QUEENARA SHANUM</t>
  </si>
  <si>
    <t>ALYA</t>
  </si>
  <si>
    <t>MUSA ARAFAH</t>
  </si>
  <si>
    <t>RIYANA NOOR OKTAVIYANTI</t>
  </si>
  <si>
    <t>Jl. Ikan piranha</t>
  </si>
  <si>
    <t>ARUMI NOOR QUBILAH ISKANDAR</t>
  </si>
  <si>
    <t>ARUMI</t>
  </si>
  <si>
    <t>1 Juni 2022</t>
  </si>
  <si>
    <t>MUCHAMAD ISKANDAR ZULKARNAIN AL GHOZALI</t>
  </si>
  <si>
    <t>DINDA PERMATASARI</t>
  </si>
  <si>
    <t>JL AR HAKIM NO 5 KAUMAN KLOJEN</t>
  </si>
  <si>
    <t>GHAVI HAUFANZA NAYAKA</t>
  </si>
  <si>
    <t>GHAVI</t>
  </si>
  <si>
    <t>20 Juli 2022</t>
  </si>
  <si>
    <t>ANDRI ARI SETIAWAN</t>
  </si>
  <si>
    <t>NINDYO GLORITA MARIBETH</t>
  </si>
  <si>
    <t>Royal Atletik Residence Blok B No. 8</t>
  </si>
  <si>
    <t>JENNAIRA SHAQUENA EL MECCA</t>
  </si>
  <si>
    <t>MECCA</t>
  </si>
  <si>
    <t>MARDLATHILLAH MUHAMMAD ASYHURI</t>
  </si>
  <si>
    <t>SAKINAH MAGHDALENA NOOR</t>
  </si>
  <si>
    <t>Perum Istana Gajayana J 4 Malang</t>
  </si>
  <si>
    <t>MUHAMMAD NABEEL IMTIYAZ</t>
  </si>
  <si>
    <t>NABIL</t>
  </si>
  <si>
    <t>ANGGITO WAHYU PAKSI</t>
  </si>
  <si>
    <t>ELSHA PINJASARI</t>
  </si>
  <si>
    <t>Perum Green Orchid Cluster Grande B-5</t>
  </si>
  <si>
    <t>MUHAMMAD ZAYDAN AL FARABY RIZQIANSYAH</t>
  </si>
  <si>
    <t>ZAYDAN</t>
  </si>
  <si>
    <t>24 Oktober 2022</t>
  </si>
  <si>
    <t>CHRISANDI YUSUF RIZQIANSYAH</t>
  </si>
  <si>
    <t>MAULIDINA NABILAH TASYAKURANTI</t>
  </si>
  <si>
    <t>JL. Cengger Ayam Dalam no.63</t>
  </si>
  <si>
    <t>NADHIFA MAULIDINA NURHUSNA</t>
  </si>
  <si>
    <t>DHIFA</t>
  </si>
  <si>
    <t>SURABAYA</t>
  </si>
  <si>
    <t>BERDIK AN YUSUFA</t>
  </si>
  <si>
    <t>DAVIANTY NUR OCTAVIONY</t>
  </si>
  <si>
    <t>PR OMAH SULAIMAN NO. TOWN 10</t>
  </si>
  <si>
    <t>NOAH KAI DAMISH ZAVIER</t>
  </si>
  <si>
    <t>NOAH</t>
  </si>
  <si>
    <t>22/04/2022</t>
  </si>
  <si>
    <t>NURFAHMI IRFAN SETIAWAN</t>
  </si>
  <si>
    <t>ROSALIA SORAYA HUSNA</t>
  </si>
  <si>
    <t>perumahan vila bukit tidar blok E2 no.115</t>
  </si>
  <si>
    <t>RASYDAN TIAR ABDIAHAD</t>
  </si>
  <si>
    <t>AIDAN</t>
  </si>
  <si>
    <t>4 Juni 2023</t>
  </si>
  <si>
    <t>RAMA TIAR NUGROHO</t>
  </si>
  <si>
    <t>SITI ULFI RIANI</t>
  </si>
  <si>
    <t>Jl. Bantaran Indah Blok H Kavling 10</t>
  </si>
  <si>
    <t>REIGHA ATHARRAZKA ANANTA</t>
  </si>
  <si>
    <t>REIGHA</t>
  </si>
  <si>
    <t>RIZKY BAGUS ANANTA</t>
  </si>
  <si>
    <t>HUTAMI RISTIANI</t>
  </si>
  <si>
    <t>GRIYA SHANTA INSIDE HH 47, LOWOKWARU, MALANG</t>
  </si>
  <si>
    <t>SHANUM AGHNIA UFAIRA DIANSYAH</t>
  </si>
  <si>
    <t>CECE SHANUM</t>
  </si>
  <si>
    <t>25/01/2023</t>
  </si>
  <si>
    <t>ROBBI OKTADIANSYAH</t>
  </si>
  <si>
    <t>YESSI AMALIA AGUSTININGSIH</t>
  </si>
  <si>
    <t>Perumahan Green Tombro Residence 2 Blok B No.37</t>
  </si>
  <si>
    <t>ARSHVREE AZEHRA ALBARID</t>
  </si>
  <si>
    <t>Azehra</t>
  </si>
  <si>
    <t>KB B2</t>
  </si>
  <si>
    <t>2 Desember 2022</t>
  </si>
  <si>
    <t>VREGAL YUNDHAN ALBARIED</t>
  </si>
  <si>
    <t>ARLINDA KUSUMA DEWI</t>
  </si>
  <si>
    <t>Jln s supriadi sukun</t>
  </si>
  <si>
    <t>ARSYANENDRA UWAIS ALLATIF</t>
  </si>
  <si>
    <t>ARSYA</t>
  </si>
  <si>
    <t>13/03/2023</t>
  </si>
  <si>
    <t>MUHAMMAD HARIS LATIF</t>
  </si>
  <si>
    <t>AVISSA JUNIATA SARI</t>
  </si>
  <si>
    <t>Perumahan griyashanta blok c 249</t>
  </si>
  <si>
    <t>KHADIJAH SYARIFAH NADHIIF</t>
  </si>
  <si>
    <t>Khadijah</t>
  </si>
  <si>
    <t>7 Desember 2022</t>
  </si>
  <si>
    <t>MUCHAMMAD AKBAR NADHIIF</t>
  </si>
  <si>
    <t>HURUL JINANI</t>
  </si>
  <si>
    <t>Perumahan Taman Tasnim B3</t>
  </si>
  <si>
    <t>KHALISA NAJWA AQILA</t>
  </si>
  <si>
    <t>NAJWA</t>
  </si>
  <si>
    <t>MaLang</t>
  </si>
  <si>
    <t>ANDIKA JAYA</t>
  </si>
  <si>
    <t>IMAMA</t>
  </si>
  <si>
    <t>Jl simpang candi panggung barat no 62</t>
  </si>
  <si>
    <t>MIKAIL JUSUF SAKHA</t>
  </si>
  <si>
    <t>MIKAIL</t>
  </si>
  <si>
    <t>Surabaya</t>
  </si>
  <si>
    <t>RIZQO BILLAH</t>
  </si>
  <si>
    <t>TITAN EVIDA AVIANTY</t>
  </si>
  <si>
    <t>Jl. Batavia Golf Bulevard No.11</t>
  </si>
  <si>
    <t>MUHAMMAD AHSAN REZQIANO</t>
  </si>
  <si>
    <t>AHSAN</t>
  </si>
  <si>
    <t>Perumahan Griya Permata Alam Blok JJ no 28</t>
  </si>
  <si>
    <t>MUHAMMAD IBRAHIM ATHARRAZKA PERMADI</t>
  </si>
  <si>
    <t>IBRAHIM</t>
  </si>
  <si>
    <t>26/12/2022</t>
  </si>
  <si>
    <t>PRIASTONO PERMADI</t>
  </si>
  <si>
    <t>OGY ARISKY MARPAUNG</t>
  </si>
  <si>
    <t>JL DR SUTOMO 28</t>
  </si>
  <si>
    <t>PRATISA TATJANA ALEVA</t>
  </si>
  <si>
    <t>NANA</t>
  </si>
  <si>
    <t>BANJARMASIN</t>
  </si>
  <si>
    <t>10 Februari 2023</t>
  </si>
  <si>
    <t>MUHAMMAD AL KEVAN DARMAWAN</t>
  </si>
  <si>
    <t>PRADISSA AVIA EMERALDA</t>
  </si>
  <si>
    <t>Perumahan De Lavender Town House No. 25</t>
  </si>
  <si>
    <t>RAFASSYA ALMECCA MOTAZ</t>
  </si>
  <si>
    <t>RAFASSYA</t>
  </si>
  <si>
    <t>17 Mei 2023</t>
  </si>
  <si>
    <t>RIDI ANDINATA</t>
  </si>
  <si>
    <t>DARA PERTIWI</t>
  </si>
  <si>
    <t>DUSUN KRAJAN</t>
  </si>
  <si>
    <t>RAJENDRA ARTHUR PRABOWO</t>
  </si>
  <si>
    <t>Arthur</t>
  </si>
  <si>
    <t>DIMAS HARRIADI PRABOWO</t>
  </si>
  <si>
    <t>LEVINA DHARMAYANDA</t>
  </si>
  <si>
    <t>PANDANWANGI ROYAL PARK BLOK E21</t>
  </si>
  <si>
    <t>RUMAISHA NAMIRA UTOMO</t>
  </si>
  <si>
    <t>RUMI</t>
  </si>
  <si>
    <t>ID_Raport</t>
  </si>
  <si>
    <t>JEFRY TRI UTOMO</t>
  </si>
  <si>
    <t>TANIA FIRDHA MARTABAYA</t>
  </si>
  <si>
    <t>URL_PDF</t>
  </si>
  <si>
    <t>File_ID</t>
  </si>
  <si>
    <t>Perumahan green orchid venosa d36 mojolangu</t>
  </si>
  <si>
    <t>Catatan_Perkembangan</t>
  </si>
  <si>
    <t>Status_Approval</t>
  </si>
  <si>
    <t>Catatan_Revisi</t>
  </si>
  <si>
    <t>SHAKEELA TSABINA AZZAHRA</t>
  </si>
  <si>
    <t>Uploader_User</t>
  </si>
  <si>
    <t>Shakeela</t>
  </si>
  <si>
    <t>Reviewed_By</t>
  </si>
  <si>
    <t>Tanggal_Review</t>
  </si>
  <si>
    <t>Tanggal_Dilihat_Ortu</t>
  </si>
  <si>
    <t>Nama_Wali_Konfirmasi</t>
  </si>
  <si>
    <t>11 Oktober 2022</t>
  </si>
  <si>
    <t>IRFAN WARDANA IRDRASENA</t>
  </si>
  <si>
    <t>SOFIE BELA WULANDARI</t>
  </si>
  <si>
    <t>RAP-202603-01</t>
  </si>
  <si>
    <t>Perum graha agung, jl. Graha utama CSA 19</t>
  </si>
  <si>
    <t>TKA-1</t>
  </si>
  <si>
    <t>2025/2026</t>
  </si>
  <si>
    <t>ARCHIE FATHLANI AISY MUHAMMAD</t>
  </si>
  <si>
    <t>Ganjil (Semester 1)</t>
  </si>
  <si>
    <t>ARCHIE</t>
  </si>
  <si>
    <t>demo_pdf_01</t>
  </si>
  <si>
    <t>KB B3</t>
  </si>
  <si>
    <t>https://drive.google.com/file/d/1BxiMVs0XRA5nFMdKvBdBZjgmUUqptlbs/preview</t>
  </si>
  <si>
    <t>29 Juli 2023</t>
  </si>
  <si>
    <t>ANDI PATIPPE</t>
  </si>
  <si>
    <t>FENY ARIANTI DEWI</t>
  </si>
  <si>
    <t>Permata Jingga West Area Blok D No 41</t>
  </si>
  <si>
    <t>ARUNIKA SHIDQIA RAZETA</t>
  </si>
  <si>
    <t>ARUNI</t>
  </si>
  <si>
    <t>31/05/2023</t>
  </si>
  <si>
    <t>MOH SAID</t>
  </si>
  <si>
    <t>ERLITA CAHYASARI</t>
  </si>
  <si>
    <t>JLN. CANDI SAWENTAR II PERUMAHAN GRIYASHANTA F-109</t>
  </si>
  <si>
    <t>EMIRA AYUDIA RIANTI</t>
  </si>
  <si>
    <t>MIA</t>
  </si>
  <si>
    <t>22/05/2023</t>
  </si>
  <si>
    <t>SRI WISNU KARTIKA SAKTI</t>
  </si>
  <si>
    <t>FITRI MUDRIKAH</t>
  </si>
  <si>
    <t>Bukit Bintaro</t>
  </si>
  <si>
    <t>ISA SYAHDAN AL BIRUNI</t>
  </si>
  <si>
    <t>ISA</t>
  </si>
  <si>
    <t>User</t>
  </si>
  <si>
    <t>Ananda Zaidan sangat aktif dalam kegiatan motorik kasar dan mandiri saat berwudhu.</t>
  </si>
  <si>
    <t>DISETUJUI</t>
  </si>
  <si>
    <t>Aktivitas</t>
  </si>
  <si>
    <t>Bunda Nurul Hidayah, S.Pd.</t>
  </si>
  <si>
    <t>Hj. Siti Aminah, M.Pd.</t>
  </si>
  <si>
    <t>Detail</t>
  </si>
  <si>
    <t>BAYU RACHMANTO</t>
  </si>
  <si>
    <t>15/09/2026 09:30</t>
  </si>
  <si>
    <t>ALFI NURLAILA</t>
  </si>
  <si>
    <t>16/09/2026 14:20</t>
  </si>
  <si>
    <t>Rudi Hartono (Ayah)</t>
  </si>
  <si>
    <t>SUDAH</t>
  </si>
  <si>
    <t>Perum Metro Kencana C17</t>
  </si>
  <si>
    <t>JENNAIRA ALMAHYRA</t>
  </si>
  <si>
    <t>SYSTEM</t>
  </si>
  <si>
    <t>RAP-202601-01</t>
  </si>
  <si>
    <t>JENNA</t>
  </si>
  <si>
    <t>SETUP</t>
  </si>
  <si>
    <t>PGA-1</t>
  </si>
  <si>
    <t>Inisialisasi Database</t>
  </si>
  <si>
    <t>Database PG - TK - DAYCARE Anak Saleh berhasil diinisialisasi.</t>
  </si>
  <si>
    <t>demo_pdf_02</t>
  </si>
  <si>
    <t>12 Desember 2022</t>
  </si>
  <si>
    <t>BAGUS SURYA PREMONO</t>
  </si>
  <si>
    <t>Ananda Fatih sangat ceria dan antusias dalam mendengarkan kisah nabi.</t>
  </si>
  <si>
    <t>CAHYA AMALIA PERMATASARI</t>
  </si>
  <si>
    <t>DIAJUKAN</t>
  </si>
  <si>
    <t>Bunda Aisyah Humaira, S.Pd.</t>
  </si>
  <si>
    <t>Jalan Arumdalu No 5</t>
  </si>
  <si>
    <t>BELUM</t>
  </si>
  <si>
    <t>Administrator Portal (admin)</t>
  </si>
  <si>
    <t>KAS RAJA BARRA</t>
  </si>
  <si>
    <t>LOGIN</t>
  </si>
  <si>
    <t>BARRA</t>
  </si>
  <si>
    <t>Login berhasil ke Portal ADMIN</t>
  </si>
  <si>
    <t>Hj. Siti Aminah, M.Pd. (kepsek)</t>
  </si>
  <si>
    <t>KAS YOGAPUTRA ILAGA</t>
  </si>
  <si>
    <t>Login berhasil ke Portal KEPSEK</t>
  </si>
  <si>
    <t>HALIMAZIA MORA SYLFARA</t>
  </si>
  <si>
    <t>Bunda Nurul Hidayah, S.Pd. (bunda.nurul)</t>
  </si>
  <si>
    <t>Tirtasani royal resort blok PR 12/16</t>
  </si>
  <si>
    <t>Login berhasil ke Portal WALI_KELAS</t>
  </si>
  <si>
    <t>MARYAM AZKADYNA</t>
  </si>
  <si>
    <t>Maryam</t>
  </si>
  <si>
    <t>Muhammad Al-Fatih Pratama (202601001)</t>
  </si>
  <si>
    <t>ORTU</t>
  </si>
  <si>
    <t>Login berhasil via Portal Wali Murid</t>
  </si>
  <si>
    <t>11 Maret 2023</t>
  </si>
  <si>
    <t>DEO RIANDY</t>
  </si>
  <si>
    <t>DEVI APRILLIA SALAMAH</t>
  </si>
  <si>
    <t>82228026443‬</t>
  </si>
  <si>
    <t>Permata jingga blok teratai no 17</t>
  </si>
  <si>
    <t>MUHAMMAD KAI ZHAFRAN AL KAFF</t>
  </si>
  <si>
    <t>KAI</t>
  </si>
  <si>
    <t>19/04/2023</t>
  </si>
  <si>
    <t>Jl. Teluk grajakan no.4</t>
  </si>
  <si>
    <t>MUHAMMAD KEENAN FAYZULHAF AL FIRDAUS</t>
  </si>
  <si>
    <t>Fayz</t>
  </si>
  <si>
    <t>9 Juni 2023</t>
  </si>
  <si>
    <t>MUHAMMAD ANWAR FIRDAUS</t>
  </si>
  <si>
    <t>PRIMA SUCI IBAR WATI NINGRUM</t>
  </si>
  <si>
    <t>Perumahan Latansa Cluster Blok B9, Jl. Tirto Agung</t>
  </si>
  <si>
    <t>MUHAMMAD ZAYYAN BALAFIF</t>
  </si>
  <si>
    <t>Zayyan</t>
  </si>
  <si>
    <t>Administrator Portal</t>
  </si>
  <si>
    <t>TAMBAH KELOMPOK</t>
  </si>
  <si>
    <t>Menambahkan kelompok baru: TEST</t>
  </si>
  <si>
    <t>6 Juli 2023</t>
  </si>
  <si>
    <t>MUHAMMAD FIRAS BALAFIF</t>
  </si>
  <si>
    <t>NOUF</t>
  </si>
  <si>
    <t>UPDATE KELOMPOK</t>
  </si>
  <si>
    <t>Jl Raya Nieuw Indie Golf No 17 B, Kel. Pandanwangi, Kec. Blimbing, Malang, Jawa Timur</t>
  </si>
  <si>
    <t>Memperbarui kelompok: TEST (test PG)</t>
  </si>
  <si>
    <t>PRADIBA TAVISHA ALEVA</t>
  </si>
  <si>
    <t>SASHA</t>
  </si>
  <si>
    <t>Banjarmasin</t>
  </si>
  <si>
    <t>TAMBAH MURID</t>
  </si>
  <si>
    <t>Menambahkan murid baru NIS: ani (ani1)</t>
  </si>
  <si>
    <t>Perum. Delavender Townhouse No. 25, Tulusrejo, Kec. Lowokwaru, Malang</t>
  </si>
  <si>
    <t>RASHDAN ALVARIZAPUTRA HANDOKO</t>
  </si>
  <si>
    <t>RASHDAN</t>
  </si>
  <si>
    <t>RIZKI EKAPUTRA HANDOKO</t>
  </si>
  <si>
    <t>FIONA PARAMITHA</t>
  </si>
  <si>
    <t>PERUM IJEN NIRWANA G / 3</t>
  </si>
  <si>
    <t>ADELARD ADIRAMU PRATAMA AKBAR</t>
  </si>
  <si>
    <t>AEL</t>
  </si>
  <si>
    <t>PENGATURAN SEKOLAH</t>
  </si>
  <si>
    <t>TK-A</t>
  </si>
  <si>
    <t>Memperbarui branding dan logo sekolah di cloud</t>
  </si>
  <si>
    <t>AKBAR SAITAMA</t>
  </si>
  <si>
    <t>OKTAVIA RAHAYU ADIANINGSIH</t>
  </si>
  <si>
    <t>SYNC</t>
  </si>
  <si>
    <t>SINKRONISASI LENGKAP</t>
  </si>
  <si>
    <t>Sinkronisasi 7 murid, 6 guru, 5 kelompok, 2 raport</t>
  </si>
  <si>
    <t>The 9 Residence Kav. 36, Jl. Arumba</t>
  </si>
  <si>
    <t>AHMAD AZZAM ARSAKHA</t>
  </si>
  <si>
    <t>AZZAM</t>
  </si>
  <si>
    <t>21/03/2022</t>
  </si>
  <si>
    <t>MOHAMMAD FARID BISRI</t>
  </si>
  <si>
    <t>NENY ARI KUSUMA</t>
  </si>
  <si>
    <t>Perumahan Permata Jingga West Area Blok D-25</t>
  </si>
  <si>
    <t>ALEENA NUR ELSHANUM</t>
  </si>
  <si>
    <t>ALEENA</t>
  </si>
  <si>
    <t>14/06/2022</t>
  </si>
  <si>
    <t>HADI PRASETYO</t>
  </si>
  <si>
    <t>LISA NOVELIA</t>
  </si>
  <si>
    <t>PERUMAHAN GRIYA PERMATA ALAM BLOK GC 2 DAN 9</t>
  </si>
  <si>
    <t>AQILA FARZANA FIRMANSYAH</t>
  </si>
  <si>
    <t>AQILA</t>
  </si>
  <si>
    <t>HAPUS KELOMPOK</t>
  </si>
  <si>
    <t>Menghapus kelompok: TK-A1</t>
  </si>
  <si>
    <t>Batu</t>
  </si>
  <si>
    <t>INDRA TAUFAN FIRMANSYAH</t>
  </si>
  <si>
    <t>ELVERA ROSANA EKOWATI</t>
  </si>
  <si>
    <t>Jalan Lesti</t>
  </si>
  <si>
    <t>Menghapus kelompok: TK-B1</t>
  </si>
  <si>
    <t>AR ROYAN ALFARIZQI HIDAYAT</t>
  </si>
  <si>
    <t>ARRO</t>
  </si>
  <si>
    <t>Menghapus kelompok: KB-A</t>
  </si>
  <si>
    <t>Menghapus kelompok: DC-1</t>
  </si>
  <si>
    <t>AURORA YERISTA AZIZA</t>
  </si>
  <si>
    <t>OLA</t>
  </si>
  <si>
    <t>UPDATE TA</t>
  </si>
  <si>
    <t>Memperbarui tahun pelajaran: TA-2025-2026-1</t>
  </si>
  <si>
    <t>15/07/2021</t>
  </si>
  <si>
    <t>jl danau maninjau barat b1 a47</t>
  </si>
  <si>
    <t>HAPUS TA</t>
  </si>
  <si>
    <t>Menghapus tahun pelajaran: TA-2025-2026-2</t>
  </si>
  <si>
    <t>DENSA MELATI PUTRI</t>
  </si>
  <si>
    <t>LALA</t>
  </si>
  <si>
    <t>Menghapus tahun pelajaran: TA-2024-2025-2</t>
  </si>
  <si>
    <t>27/08/2021</t>
  </si>
  <si>
    <t>DENNY ALDILA HARIPUTRA</t>
  </si>
  <si>
    <t>FARISA DIWI HARSIWI</t>
  </si>
  <si>
    <t>Puncak Dieng LL 2 no 8</t>
  </si>
  <si>
    <t>ani1 (ani)</t>
  </si>
  <si>
    <t>FILLIO FARZANA NOOR</t>
  </si>
  <si>
    <t>FILLIO</t>
  </si>
  <si>
    <t>18/08/2022</t>
  </si>
  <si>
    <t>JULFAJAR MUHAMMAD NOOR</t>
  </si>
  <si>
    <t>PRIMA APRIANTIKA</t>
  </si>
  <si>
    <t>Dusun Lemah Duwur</t>
  </si>
  <si>
    <t>FIRAYZA ABDILLAH AKHYA WINATA</t>
  </si>
  <si>
    <t>RAYZA</t>
  </si>
  <si>
    <t>Blitar</t>
  </si>
  <si>
    <t>13/04/2022</t>
  </si>
  <si>
    <t>SYAIFUL ARDI WINATA</t>
  </si>
  <si>
    <t>REKA REMALIA YONANDA AZIZAH</t>
  </si>
  <si>
    <t>Green Tombro Residence</t>
  </si>
  <si>
    <t>HAFSHAH AULIA NISA</t>
  </si>
  <si>
    <t>HAFSHAH</t>
  </si>
  <si>
    <t>KUTAI TIMUR</t>
  </si>
  <si>
    <t>AULIA ISMAIL ADHIIM</t>
  </si>
  <si>
    <t>SRI WIDIA PARWATI</t>
  </si>
  <si>
    <t>Griya shanta</t>
  </si>
  <si>
    <t>NAFISA ADEEVA ALFIAN PUTRI</t>
  </si>
  <si>
    <t>NAFISA</t>
  </si>
  <si>
    <t>ALFIAN INDRA WIRAWAN</t>
  </si>
  <si>
    <t>RIMA VINOLITA</t>
  </si>
  <si>
    <t>Jl Danau Belayan C3 E10</t>
  </si>
  <si>
    <t>AKALANKA EIMAN ZAHAIR</t>
  </si>
  <si>
    <t>AKA</t>
  </si>
  <si>
    <t>Memperbarui kelompok: TPA-2 (TPA 2)</t>
  </si>
  <si>
    <t>14/12/2021</t>
  </si>
  <si>
    <t>MARTINO HENDRAWAN</t>
  </si>
  <si>
    <t>Menambahkan kelompok baru: TPA-2</t>
  </si>
  <si>
    <t>ENDAH PURWANINGRUM</t>
  </si>
  <si>
    <t>PERUM GARDEN PALMA AU 8A</t>
  </si>
  <si>
    <t>ARSYANENDRA RADEVA</t>
  </si>
  <si>
    <t>DEVA</t>
  </si>
  <si>
    <t>GUNAWAN WIBISONO</t>
  </si>
  <si>
    <t>PRAMESTUTI ARINDAYU</t>
  </si>
  <si>
    <t>Jln. Ikan layur I no 42</t>
  </si>
  <si>
    <t>ARSYILA SHANUM ALMAHYRA</t>
  </si>
  <si>
    <t>ARSY</t>
  </si>
  <si>
    <t>MUHAMMAD SARONI</t>
  </si>
  <si>
    <t>ARYUNDA SHELLA DEVI</t>
  </si>
  <si>
    <t>Jl. RAYA ITN 2</t>
  </si>
  <si>
    <t>CHESSY FRINIESHA INAS ARSYILA</t>
  </si>
  <si>
    <t>NIESHA</t>
  </si>
  <si>
    <t>23/02/2022</t>
  </si>
  <si>
    <t>ZHEFRIEL PARDIKAJAYANTO</t>
  </si>
  <si>
    <t>YULIS RISTIARNI SUMINAR</t>
  </si>
  <si>
    <t>Tirtasani royal village RV 8-7 ngenep</t>
  </si>
  <si>
    <t>EMRAN KHALEED ARDIANSYAH</t>
  </si>
  <si>
    <t>EMRAN</t>
  </si>
  <si>
    <t>21/09/2021</t>
  </si>
  <si>
    <t>ADAM HAKIM ARDIANSYAH</t>
  </si>
  <si>
    <t>SEPTA PRAMITA KUSUMA WARDANI</t>
  </si>
  <si>
    <t>JL RADEN INTAN NO 76</t>
  </si>
  <si>
    <t>FATIMAH NISRIN MAZAYA</t>
  </si>
  <si>
    <t>NISRIN</t>
  </si>
  <si>
    <t>MUHAMMAD MADZHAB UMAR</t>
  </si>
  <si>
    <t>LUTFIA ZAKIYYATUL FAKHIROH</t>
  </si>
  <si>
    <t>JL. RAYA DAWUHAN NO.78</t>
  </si>
  <si>
    <t>KIARA ROMEESA FARZANA</t>
  </si>
  <si>
    <t>KIARA</t>
  </si>
  <si>
    <t>Banyuwangi</t>
  </si>
  <si>
    <t>24/05/2021</t>
  </si>
  <si>
    <t>RICO ANDHIKA ARISANDI</t>
  </si>
  <si>
    <t>ATIKA HARISH NURFITRIANI</t>
  </si>
  <si>
    <t>Perumahan bumi tunggul wulung indah</t>
  </si>
  <si>
    <t>MEISHA ALMAHYRA PERMATA AMIN</t>
  </si>
  <si>
    <t>MEISHA</t>
  </si>
  <si>
    <t>16/05/2022</t>
  </si>
  <si>
    <t>WILDAN NURFADILA AMIN</t>
  </si>
  <si>
    <t>NUR AMALIA PERMATASARI</t>
  </si>
  <si>
    <t>Jl. Karyawiguna No 84 C</t>
  </si>
  <si>
    <t>MUHAMMAD HANIF AL HAFIDZ</t>
  </si>
  <si>
    <t>HANIF</t>
  </si>
  <si>
    <t>Bandung</t>
  </si>
  <si>
    <t>18/06/2022</t>
  </si>
  <si>
    <t>LUKMAN HAKIM BAIHAQI</t>
  </si>
  <si>
    <t>NABELLA DEWI PUTRI KUSUMAWARDHANI</t>
  </si>
  <si>
    <t>Jl Pang Sudirman</t>
  </si>
  <si>
    <t>MUHAMMAD ZHAFI IRHAM</t>
  </si>
  <si>
    <t>ZHAFI</t>
  </si>
  <si>
    <t>20/02/2022</t>
  </si>
  <si>
    <t>ILHAM MUHAMMAD</t>
  </si>
  <si>
    <t>RURI AVRINA</t>
  </si>
  <si>
    <t>Perumahan griya Shanta inside</t>
  </si>
  <si>
    <t>NABILA SHEILA JENNA</t>
  </si>
  <si>
    <t>NABILA</t>
  </si>
  <si>
    <t>Purworejo</t>
  </si>
  <si>
    <t>26/07/2021</t>
  </si>
  <si>
    <t>Araya lotus valley No 61</t>
  </si>
  <si>
    <t>TEANO RASHYAFARIQ ATHARRAZKA</t>
  </si>
  <si>
    <t>TEANO</t>
  </si>
  <si>
    <t>MUHAMMAD TEGAR AQWASANA PUTRA</t>
  </si>
  <si>
    <t>IMANDA KARTIKA DEWI</t>
  </si>
  <si>
    <t>Perumahan Cakalang Asri B:2</t>
  </si>
  <si>
    <t>AMMAR KAFEEL ARDIANSYAH</t>
  </si>
  <si>
    <t>AMMAR</t>
  </si>
  <si>
    <t>TK A3</t>
  </si>
  <si>
    <t>ARA SABRIA NAZRA</t>
  </si>
  <si>
    <t>ARA</t>
  </si>
  <si>
    <t>Lamongan</t>
  </si>
  <si>
    <t>19/01/2022</t>
  </si>
  <si>
    <t>MOCHAMMAD ANDRY GUMELAR</t>
  </si>
  <si>
    <t>ELLY MARYANA LATIFA</t>
  </si>
  <si>
    <t>Perumahan Jawara Land Blok C-24</t>
  </si>
  <si>
    <t>ARSAL RADEYA MAHESWARA</t>
  </si>
  <si>
    <t>ARSAL</t>
  </si>
  <si>
    <t>PAMBAGYO ADI KURNIAWAN</t>
  </si>
  <si>
    <t>VINI NUR ALEGRIA</t>
  </si>
  <si>
    <t>PERUM TUNJUNGSEKAR DAMAI P-3</t>
  </si>
  <si>
    <t>ARUMI SABRINA NUHA</t>
  </si>
  <si>
    <t>MUHAMAD ILYAS</t>
  </si>
  <si>
    <t>RISNA WIRAYUTI</t>
  </si>
  <si>
    <t>Perumahan Permata Jingga, Tunggul Wulung, Lowokwaru (Cluster zahara J17), KOTA MALANG, LOWOKWARU, JAWA TIMUR, ID  65141</t>
  </si>
  <si>
    <t>DANISH AL FATH PRASTYO</t>
  </si>
  <si>
    <t>AL FATH</t>
  </si>
  <si>
    <t>Jl. Rebab No. 27</t>
  </si>
  <si>
    <t>HILYA AMEERA ZOYA</t>
  </si>
  <si>
    <t>HILYA</t>
  </si>
  <si>
    <t>TONDANO</t>
  </si>
  <si>
    <t>Mojolangu kecamatan lowokwaru</t>
  </si>
  <si>
    <t>JIBRAN FATIH ABDURRAZZAQ</t>
  </si>
  <si>
    <t>ROZZAQ</t>
  </si>
  <si>
    <t>22/01/2021</t>
  </si>
  <si>
    <t>IWAN SETIAWAN</t>
  </si>
  <si>
    <t>MAYRA SYAMSIA LEAFA</t>
  </si>
  <si>
    <t>CANDI MENDUT SELATAN I NOMOR 9A</t>
  </si>
  <si>
    <t>KHAIREN ABIMANA EL RUMI</t>
  </si>
  <si>
    <t>BIMA</t>
  </si>
  <si>
    <t>KHALISA KAMILA PUTRI HERMANSYAH</t>
  </si>
  <si>
    <t>KHALISA</t>
  </si>
  <si>
    <t>Kabupaten Mojokerto</t>
  </si>
  <si>
    <t>25/06/2022</t>
  </si>
  <si>
    <t>MOCHAMAD JUNAEDI HERMANSYAH</t>
  </si>
  <si>
    <t>MONIKA FATMASARI</t>
  </si>
  <si>
    <t>GREEN VIEW REGENCY D36</t>
  </si>
  <si>
    <t>MUHAMMAD ALBIANSYAH DAMAREZA</t>
  </si>
  <si>
    <t>ALBI</t>
  </si>
  <si>
    <t>28/08/2021</t>
  </si>
  <si>
    <t>RIZKY DAMAREZA AFENDI</t>
  </si>
  <si>
    <t>RIA ROSIDAH</t>
  </si>
  <si>
    <t>Jalan Bunga Vinolia Gang 3 No 14</t>
  </si>
  <si>
    <t>MUHAMMAD ATHALLA ASHRAF GHOFILIN</t>
  </si>
  <si>
    <t>ASHRAF</t>
  </si>
  <si>
    <t>SUDIRMAN</t>
  </si>
  <si>
    <t>DWI NOVIANTI</t>
  </si>
  <si>
    <t>Jl taman permata Kendalsari iv 14</t>
  </si>
  <si>
    <t>MUHAMMAD ZAYN KALLA ELFATHAN</t>
  </si>
  <si>
    <t>KALLA</t>
  </si>
  <si>
    <t>IRWAN SETIAWAN</t>
  </si>
  <si>
    <t>PUJI RAHAYU</t>
  </si>
  <si>
    <t>Garden Residence Krisan 5</t>
  </si>
  <si>
    <t>RAYYA MAZIYA ARSYILA</t>
  </si>
  <si>
    <t>RAYYA</t>
  </si>
  <si>
    <t>21/04/2022</t>
  </si>
  <si>
    <t>DHANA TEGUH ARFIANTO</t>
  </si>
  <si>
    <t>SUASTIKA YULIA RISKA</t>
  </si>
  <si>
    <t>Perumahan Griya Jemani Blok E no 7, Batu</t>
  </si>
  <si>
    <t>AHMAD FATIH NUR AL JAWI</t>
  </si>
  <si>
    <t>FATIH</t>
  </si>
  <si>
    <t>TK A4</t>
  </si>
  <si>
    <t>14/05/2022</t>
  </si>
  <si>
    <t>MUHRIANDI NUR</t>
  </si>
  <si>
    <t>LAILI IL MUNAWAROH</t>
  </si>
  <si>
    <t>PERUM PERMATA JINGGA CLASTER DEIRA NO 30</t>
  </si>
  <si>
    <t>AHMAD YAFIQ UBAIDILLAH</t>
  </si>
  <si>
    <t>YAFIQ</t>
  </si>
  <si>
    <t>ARCELLO OWEN ATHARRAZKA YUARTA</t>
  </si>
  <si>
    <t>OWEN</t>
  </si>
  <si>
    <t>RAJINDRA LEO YUARTA</t>
  </si>
  <si>
    <t>DINAR SETIA INDARTI</t>
  </si>
  <si>
    <t>Madinah Townhouse No. 07</t>
  </si>
  <si>
    <t>AZWA AMINAH AFANDI</t>
  </si>
  <si>
    <t>AZWA</t>
  </si>
  <si>
    <t>JOCELYN FREYA GAURI WIJAYANTO</t>
  </si>
  <si>
    <t>CELYN</t>
  </si>
  <si>
    <t>25/12/2021</t>
  </si>
  <si>
    <t>HENDRIK DWI WIJAYANTO</t>
  </si>
  <si>
    <t>SHERLY MEGAWATI</t>
  </si>
  <si>
    <t>Green Hills Residence Bukit flamboyan 1 no 16</t>
  </si>
  <si>
    <t>KAILASH FAZAL ILLARIO</t>
  </si>
  <si>
    <t>KAILASH</t>
  </si>
  <si>
    <t>23/12/2021</t>
  </si>
  <si>
    <t>MUHAMMAD FATKHUL ARIF</t>
  </si>
  <si>
    <t>NOVIA VIRONIKA</t>
  </si>
  <si>
    <t>Perum dwiga regency B2-01</t>
  </si>
  <si>
    <t>KEINAN IKBAR ATHALLAH PUTRA</t>
  </si>
  <si>
    <t>KEINAN</t>
  </si>
  <si>
    <t>Gresik</t>
  </si>
  <si>
    <t>28/05/2019</t>
  </si>
  <si>
    <t>ACHMAD ERNANDA TRIHARMAWAN PUTRA</t>
  </si>
  <si>
    <t>SINTA ASA KARSALINA</t>
  </si>
  <si>
    <t>Jl. Simpang Panji Suroso no 08</t>
  </si>
  <si>
    <t>MALIKA ILMI HUMAIRA</t>
  </si>
  <si>
    <t>MALIKA</t>
  </si>
  <si>
    <t>26/08/2021</t>
  </si>
  <si>
    <t>TAUFIK AKBAR FEBRIANTO</t>
  </si>
  <si>
    <t>PUTRI DYAH ARMININGTYAS</t>
  </si>
  <si>
    <t>Jl. Terusan Sudimoro no.15 Malang</t>
  </si>
  <si>
    <t>MUHAMMAD ARRAZKA SYAIFUDIN AKMAL</t>
  </si>
  <si>
    <t>RAZKA</t>
  </si>
  <si>
    <t>MASRUHAN</t>
  </si>
  <si>
    <t>AYU RISKY AMALIA</t>
  </si>
  <si>
    <t>Jl tanjungsari 65</t>
  </si>
  <si>
    <t>NAYLA MUTHIA AKBAR</t>
  </si>
  <si>
    <t>NAYLA</t>
  </si>
  <si>
    <t>25/09/2021</t>
  </si>
  <si>
    <t>KHARISMA RAMADHAN AKBAR</t>
  </si>
  <si>
    <t>AMALIA INTAN PERMATA SARI</t>
  </si>
  <si>
    <t>Tata Suryab1 BLOK C1</t>
  </si>
  <si>
    <t>RACHMEIDA HAMASY LUBNA</t>
  </si>
  <si>
    <t>MEIDA</t>
  </si>
  <si>
    <t>Ponorogo</t>
  </si>
  <si>
    <t>MUHAMMAD</t>
  </si>
  <si>
    <t>ANISATU THOYYIBAH</t>
  </si>
  <si>
    <t>Perumahan Graha Family Park Blok C8</t>
  </si>
  <si>
    <t>SHALVYNNE ADZKYA YAKIN</t>
  </si>
  <si>
    <t>SHALVYNNE</t>
  </si>
  <si>
    <t>Kediri</t>
  </si>
  <si>
    <t>30/05/2021</t>
  </si>
  <si>
    <t>MUKHAMMAD BAGUS AINUL YAKIN</t>
  </si>
  <si>
    <t>SELLY SILVIANA PUSPITA DEWI</t>
  </si>
  <si>
    <t>Jalan Mayjend Sungkono IV no.121 C</t>
  </si>
  <si>
    <t>AHMAD HAYDAR ABDURRAHMAN</t>
  </si>
  <si>
    <t>Haydar</t>
  </si>
  <si>
    <t>TK-B</t>
  </si>
  <si>
    <t>TK B1</t>
  </si>
  <si>
    <t>15/02/21</t>
  </si>
  <si>
    <t>Perum Green Orchid, Cluster Grande B-5</t>
  </si>
  <si>
    <t>AHMAD YAZID UBAIDILLAH</t>
  </si>
  <si>
    <t>YAZID</t>
  </si>
  <si>
    <t>probolinggo</t>
  </si>
  <si>
    <t>M FARUQ UBAIDILLAH</t>
  </si>
  <si>
    <t>SRI RAHMAWATI</t>
  </si>
  <si>
    <t>Perum Patraland Place Blok A1 No 5A</t>
  </si>
  <si>
    <t>ARSAKHA KHAIRUNNAS TSAAQIB</t>
  </si>
  <si>
    <t>SAKHA</t>
  </si>
  <si>
    <t>JEMBER</t>
  </si>
  <si>
    <t>DIMAS VEKTOR ARIDIANTO</t>
  </si>
  <si>
    <t>SITI HALIMAH</t>
  </si>
  <si>
    <t>PERUM BUMI TUNGGULWULUNG INDAH H-2</t>
  </si>
  <si>
    <t>AUDREY KHADIJAH WIJAYA</t>
  </si>
  <si>
    <t>Audrey</t>
  </si>
  <si>
    <t>TRIO AGUNG WIJAYA SANTOSO</t>
  </si>
  <si>
    <t>YUNIAR CITRA DEWI SOEDJITO</t>
  </si>
  <si>
    <t>Jl mayjen sungkono 4 no 120</t>
  </si>
  <si>
    <t>ERDOGAN ASLAM ACHMAD ZUHHAD</t>
  </si>
  <si>
    <t>ERDOGAN</t>
  </si>
  <si>
    <t>MAKASSAR</t>
  </si>
  <si>
    <t>JL. RAYA KAUMAN TUMPANG NO 24</t>
  </si>
  <si>
    <t>HERNING AJENG ASMARANI</t>
  </si>
  <si>
    <t>AJENG</t>
  </si>
  <si>
    <t>BOJONEGORO</t>
  </si>
  <si>
    <t>16/12/20</t>
  </si>
  <si>
    <t>KUSUMA NUGROHO AGUNG PRABOWO</t>
  </si>
  <si>
    <t>TREVI WULANDARI</t>
  </si>
  <si>
    <t>CENGGER AYAM 1A</t>
  </si>
  <si>
    <t>HIKARI SHAQUEENA SHANUM</t>
  </si>
  <si>
    <t>BENY DWI MASUD</t>
  </si>
  <si>
    <t>VINA CHOIRINA</t>
  </si>
  <si>
    <t>Jalan Papa Kuning 1 No 19 Malang</t>
  </si>
  <si>
    <t>JIHAN TIAR MAKAILAH</t>
  </si>
  <si>
    <t>Jihan</t>
  </si>
  <si>
    <t>Probolinggo</t>
  </si>
  <si>
    <t>23/12/20</t>
  </si>
  <si>
    <t>KAYZAN RANGGA ALFARIZ</t>
  </si>
  <si>
    <t>KAYZAN</t>
  </si>
  <si>
    <t>ODDY KURNIANTO</t>
  </si>
  <si>
    <t>AISAH DIRAWIDYA</t>
  </si>
  <si>
    <t>JL. Kedawung 60</t>
  </si>
  <si>
    <t>MUSHAB EZHAR ACHMAD</t>
  </si>
  <si>
    <t>Mushab</t>
  </si>
  <si>
    <t>24/10/20</t>
  </si>
  <si>
    <t>ACHMAD BADRI</t>
  </si>
  <si>
    <t>DINA MUMTAZAH</t>
  </si>
  <si>
    <t>Griyashanta l/504</t>
  </si>
  <si>
    <t>QEIZER RAFFAZA YAZDAN</t>
  </si>
  <si>
    <t>QEIZER</t>
  </si>
  <si>
    <t>NOVRICO SUSANTO</t>
  </si>
  <si>
    <t>CHANDRA SARI KURNIAWATI</t>
  </si>
  <si>
    <t>JL. SUFELIR NO. 18</t>
  </si>
  <si>
    <t>SABDA SAGARA DISSERTASIA</t>
  </si>
  <si>
    <t>SABDA</t>
  </si>
  <si>
    <t>HEPPY JUNDAN HENDRAWAN</t>
  </si>
  <si>
    <t>USWATUN HASANAH</t>
  </si>
  <si>
    <t>Jl. BARENG TENGAH 5E</t>
  </si>
  <si>
    <t>SAIDAH AALIYAH AGIL GUDBAN</t>
  </si>
  <si>
    <t>AALIYAH</t>
  </si>
  <si>
    <t>18/05/21</t>
  </si>
  <si>
    <t>AGIL GUDBAN</t>
  </si>
  <si>
    <t>NOOR AULIYANI</t>
  </si>
  <si>
    <t>Perum Griyashanta Blok A no 102</t>
  </si>
  <si>
    <t>SHAFALAUNA AZZAHRA SHOLIHAH ARIFIN</t>
  </si>
  <si>
    <t>ALAUNA</t>
  </si>
  <si>
    <t>25/09/21</t>
  </si>
  <si>
    <t>AR RAISUL KARAMA ARIFIN</t>
  </si>
  <si>
    <t>DEVITA PRINANDA</t>
  </si>
  <si>
    <t>JL BANTARAN IV / 15 A</t>
  </si>
  <si>
    <t>ALINA SAFIYYA KURNIAWAN</t>
  </si>
  <si>
    <t>ALINA</t>
  </si>
  <si>
    <t>TK B2</t>
  </si>
  <si>
    <t>MOCHAMAD RISKI KURNIAWAN</t>
  </si>
  <si>
    <t>DIAN SUGIHARTO</t>
  </si>
  <si>
    <t>PURI AKORDION A10</t>
  </si>
  <si>
    <t>ARISTYA NAZAFARIN ALNAIRA</t>
  </si>
  <si>
    <t>Farin</t>
  </si>
  <si>
    <t>Pasuruan</t>
  </si>
  <si>
    <t>26/12/19</t>
  </si>
  <si>
    <t>FURQON ADIMAS YUDISTIRA</t>
  </si>
  <si>
    <t>WIDYA ALIF SUHANDINI</t>
  </si>
  <si>
    <t>Puncak permata sengkaling</t>
  </si>
  <si>
    <t>ARSYANA ARVI PUTRA THABRANI</t>
  </si>
  <si>
    <t>Arsya</t>
  </si>
  <si>
    <t>ARDIANSYAH THABRANI</t>
  </si>
  <si>
    <t>NOVIANI</t>
  </si>
  <si>
    <t>Perum bmr blok gm 6 no 124</t>
  </si>
  <si>
    <t>ARZIO FIRDAUS ALFAUZAN</t>
  </si>
  <si>
    <t>Arzio</t>
  </si>
  <si>
    <t>17/10/20</t>
  </si>
  <si>
    <t>FARIZ IZZAN AGUSTA</t>
  </si>
  <si>
    <t>NABELLA QONITA</t>
  </si>
  <si>
    <t>Cengkeh Regency Kav 2 Jl. Songgolangit</t>
  </si>
  <si>
    <t>AZRINA MUTHIA HUMAIRA</t>
  </si>
  <si>
    <t>MUTHIA</t>
  </si>
  <si>
    <t>21/08/21</t>
  </si>
  <si>
    <t>PERUMAHAN GRIYASHANTA L-209</t>
  </si>
  <si>
    <t>BIMASENA NARARYA DANANJAYA</t>
  </si>
  <si>
    <t>DIMAS DWI YOGA SAPUTRA</t>
  </si>
  <si>
    <t>CAMELEIA DIAH SETYORINI</t>
  </si>
  <si>
    <t>PERUM GREEN ORCHID CLUSTER GRANDE F07</t>
  </si>
  <si>
    <t>DAYANA KHADEEJA AZALEA</t>
  </si>
  <si>
    <t>Azalea</t>
  </si>
  <si>
    <t>18/04/21</t>
  </si>
  <si>
    <t>MUHAMMAD SONI ALFAN</t>
  </si>
  <si>
    <t>INDRAWATI</t>
  </si>
  <si>
    <t>Green Orchid Residence Cluster Esmeralda B28</t>
  </si>
  <si>
    <t>KALANA AYA ANJANI</t>
  </si>
  <si>
    <t>NAYA</t>
  </si>
  <si>
    <t>31/03/21</t>
  </si>
  <si>
    <t>HILMAN YAHYA</t>
  </si>
  <si>
    <t>CARINA DEWI PERMATA SARI</t>
  </si>
  <si>
    <t>Perum graha mulia blok F7</t>
  </si>
  <si>
    <t>LALU ARKA SANKARA IRCYA PUTRA</t>
  </si>
  <si>
    <t>Arka</t>
  </si>
  <si>
    <t>23/11/20</t>
  </si>
  <si>
    <t>LALU MUH YASIR MARWAZI</t>
  </si>
  <si>
    <t>ADECYA AMARYLLIS RISA PUTRI</t>
  </si>
  <si>
    <t>Perum Griyashanta F 218</t>
  </si>
  <si>
    <t>MOHAMAD JINDAN ANSORI</t>
  </si>
  <si>
    <t>Jindan</t>
  </si>
  <si>
    <t>WAHYUDI</t>
  </si>
  <si>
    <t>CITRA PUTRI WULANSARI</t>
  </si>
  <si>
    <t>JL. BUKIR SARI VI/32</t>
  </si>
  <si>
    <t>MUHAMMAD DAVIN RAZKA HANANTA</t>
  </si>
  <si>
    <t>Davin</t>
  </si>
  <si>
    <t>HANAN SEPTIAN WIDATAMA</t>
  </si>
  <si>
    <t>ALAFTA RAHMANIA</t>
  </si>
  <si>
    <t>Perumahan Ngijo Regency A1</t>
  </si>
  <si>
    <t>MUHAMMAD GIBRAN EKAWIRA</t>
  </si>
  <si>
    <t>WIRA</t>
  </si>
  <si>
    <t>19/07/20</t>
  </si>
  <si>
    <t>ARY TRI FARISMANSYAH</t>
  </si>
  <si>
    <t>DWI PURWATININGTIYAS</t>
  </si>
  <si>
    <t>DUSUN JATIMULYO</t>
  </si>
  <si>
    <t>MUHAMMAD YUSUF ASY SYADZILI</t>
  </si>
  <si>
    <t>Zili</t>
  </si>
  <si>
    <t>AGUNG SIH CAHYONO</t>
  </si>
  <si>
    <t>MIFTAKHUL JANNAH</t>
  </si>
  <si>
    <t>Jl KH Yusuf</t>
  </si>
  <si>
    <t>ZAARA ASHALINA YASMIN</t>
  </si>
  <si>
    <t>Yasmin</t>
  </si>
  <si>
    <t>27/03/21</t>
  </si>
  <si>
    <t>ANDRIAN EKO SASMITO</t>
  </si>
  <si>
    <t>RIZA SARASWATI</t>
  </si>
  <si>
    <t>Jalam Silikat gang 6 no. 23D</t>
  </si>
  <si>
    <t>ABIL SHIDQI PRATAMA</t>
  </si>
  <si>
    <t>ABIL</t>
  </si>
  <si>
    <t>TK B3</t>
  </si>
  <si>
    <t>PURWOREJO</t>
  </si>
  <si>
    <t>24/08/19</t>
  </si>
  <si>
    <t>PERUM LIGHT CLUSTER NO A14</t>
  </si>
  <si>
    <t>ABRAR PUTRA PRIYANTO</t>
  </si>
  <si>
    <t>ABRAR</t>
  </si>
  <si>
    <t>25/08/19</t>
  </si>
  <si>
    <t>RIFKI PUJI PRIYANTO</t>
  </si>
  <si>
    <t>NURUL MARDIANA</t>
  </si>
  <si>
    <t>JL.PLAOSAN TIMUR GANG 6 NO 31</t>
  </si>
  <si>
    <t>AISYAH AQILA PUTRI</t>
  </si>
  <si>
    <t>Aisyah</t>
  </si>
  <si>
    <t>23/03/21</t>
  </si>
  <si>
    <t>FANDY AHMAD</t>
  </si>
  <si>
    <t>NURUL ISLAM MAWARDAH KINTA PUTRI</t>
  </si>
  <si>
    <t>Jl. Sigura-gura 1 no 7</t>
  </si>
  <si>
    <t>AQILLA HANEEN MAHENDRA</t>
  </si>
  <si>
    <t>AQILLA</t>
  </si>
  <si>
    <t>22/08/20</t>
  </si>
  <si>
    <t>ARDIAN KRISMAHENDRA</t>
  </si>
  <si>
    <t>ASTRID KUSUMA DEWI</t>
  </si>
  <si>
    <t>JL SULFAT AGUNG I NO. 16</t>
  </si>
  <si>
    <t>DAMARSENA SUMA PRAMUDYA</t>
  </si>
  <si>
    <t>DAMARSENA</t>
  </si>
  <si>
    <t>29/09/20</t>
  </si>
  <si>
    <t>FUAD IQBAL MUHAMMAD</t>
  </si>
  <si>
    <t>MASYITA W</t>
  </si>
  <si>
    <t>BUMI TUNGGULWULUNG INDAH BLOK F-2, JL. AKORDION.</t>
  </si>
  <si>
    <t>KAIRA KHAINUNA NAZEEYA</t>
  </si>
  <si>
    <t>KAIRA</t>
  </si>
  <si>
    <t>M AKMALUL ULYA</t>
  </si>
  <si>
    <t>ZULFA IZDIHAR</t>
  </si>
  <si>
    <t>Jln. Soekarno Hatta Indah Kav. II/30</t>
  </si>
  <si>
    <t>LATISHA KYNA MAISARA</t>
  </si>
  <si>
    <t>Kyna</t>
  </si>
  <si>
    <t>Sidoarjo</t>
  </si>
  <si>
    <t>25/06/2020</t>
  </si>
  <si>
    <t>ADITYA AULIA RAHMAN</t>
  </si>
  <si>
    <t>AMANDA PUTRI NURINDAH SARI</t>
  </si>
  <si>
    <t>Perumahan Grand Masyhur Residence Blok D8</t>
  </si>
  <si>
    <t>NABIL ZAIDAN FANANI</t>
  </si>
  <si>
    <t>Nabil</t>
  </si>
  <si>
    <t>Sleman</t>
  </si>
  <si>
    <t>30/09/20</t>
  </si>
  <si>
    <t>REZA FANANI</t>
  </si>
  <si>
    <t>NOVI ISMAH KAMILIA</t>
  </si>
  <si>
    <t>Jalan Ikan Tombro, kalila residence blok b5</t>
  </si>
  <si>
    <t>NAJANDRA ARSAKHA SHAGUNA</t>
  </si>
  <si>
    <t>Akak</t>
  </si>
  <si>
    <t>13/06/20</t>
  </si>
  <si>
    <t>JHENTA DAWAM GUNA</t>
  </si>
  <si>
    <t>SHINTA MAYASARI PUTRI</t>
  </si>
  <si>
    <t>Terusan Bendungan Wonogiri No 1</t>
  </si>
  <si>
    <t>NASYWA ARRAHMA CHAIRYZA</t>
  </si>
  <si>
    <t>SEOUL</t>
  </si>
  <si>
    <t>KHOIRUL HADI PRAYITNO</t>
  </si>
  <si>
    <t>RYZTA SEKAR SMARADHANY</t>
  </si>
  <si>
    <t>PERMATA JINGGA BLOK TERATAI 24</t>
  </si>
  <si>
    <t>NAYAKA GIBRAN WIBISANA YAZDI</t>
  </si>
  <si>
    <t>Nayaka</t>
  </si>
  <si>
    <t>Balikpapan</t>
  </si>
  <si>
    <t>IRFAN APRIYAN YAZDI</t>
  </si>
  <si>
    <t>TRISIA OKTA UTAMI</t>
  </si>
  <si>
    <t>Perum Mutiara Jingga Residence B 21</t>
  </si>
  <si>
    <t>RAYNOSKA GHITHRIF AKHDANIYAL</t>
  </si>
  <si>
    <t>Raynoska</t>
  </si>
  <si>
    <t>24/04/20</t>
  </si>
  <si>
    <t>RADIKTYA DAGDA PRADANA</t>
  </si>
  <si>
    <t>INNEKE MEKA HARDINI</t>
  </si>
  <si>
    <t>Jl tokala no 1</t>
  </si>
  <si>
    <t>SEANAN JAVAS GALILEAN</t>
  </si>
  <si>
    <t>SEAN</t>
  </si>
  <si>
    <t>CILEGON</t>
  </si>
  <si>
    <t>13/03/21</t>
  </si>
  <si>
    <t>R ARYO TRI ADHIMUKTI</t>
  </si>
  <si>
    <t>SITI ALFENI BAUTY</t>
  </si>
  <si>
    <t>Griya Shanta Eksekutif M 343</t>
  </si>
  <si>
    <t>WARA LAVAGA KIYOWO TARDAS</t>
  </si>
  <si>
    <t>Vaga</t>
  </si>
  <si>
    <t>DADIK WAHYU</t>
  </si>
  <si>
    <t>DINAR RAHADIAN</t>
  </si>
  <si>
    <t>Jl. Bantaran I/25, RT. 003, RW. 003, Kel. Telusuro, Kec. Lowokwaru, Kota Malang</t>
  </si>
  <si>
    <t>ZALINA ELEANORE ASA WIMARA</t>
  </si>
  <si>
    <t>ELLEN</t>
  </si>
  <si>
    <t>24/11/20</t>
  </si>
  <si>
    <t>MOCHAMAD WIDYA MANDALA PUTRA</t>
  </si>
  <si>
    <t>NONNY OCTA WISANTI</t>
  </si>
  <si>
    <t>JL. CANDI JOLOTUNDO, PERUMAHAN GRIYA SHANTA BLOK E/224</t>
  </si>
  <si>
    <t>AISYAH AFNAN KAMALIA</t>
  </si>
  <si>
    <t>AFNAN</t>
  </si>
  <si>
    <t>TK B4</t>
  </si>
  <si>
    <t>Jl. Raya Dawuhan No.78, Tegalgondo</t>
  </si>
  <si>
    <t>ALTHAFUNNISA TIAR VALEA</t>
  </si>
  <si>
    <t>VALEA</t>
  </si>
  <si>
    <t>28/09/21</t>
  </si>
  <si>
    <t>YUNIAR SETIAWAN</t>
  </si>
  <si>
    <t>HUSNUL KHOTIMAH</t>
  </si>
  <si>
    <t>GRIYASHANTA C-301</t>
  </si>
  <si>
    <t>ARDOINO UNO HUTOMO</t>
  </si>
  <si>
    <t>INO</t>
  </si>
  <si>
    <t>YUSUF PRIYOHUTOMO SHOFWAN</t>
  </si>
  <si>
    <t>RATRI DIANA SARI</t>
  </si>
  <si>
    <t>Jl. Bendungan sigura-gura barat III no:2B</t>
  </si>
  <si>
    <t>ARSHAL RADEYA EFENDIK</t>
  </si>
  <si>
    <t>ARSHAL</t>
  </si>
  <si>
    <t>14/02/20</t>
  </si>
  <si>
    <t>AGUS EFENDIK</t>
  </si>
  <si>
    <t>EKA SUSANTI</t>
  </si>
  <si>
    <t>ASRAMA PUSDIKARHANUD</t>
  </si>
  <si>
    <t>CANDICE AISHALENE YAKIN</t>
  </si>
  <si>
    <t>CANDICE</t>
  </si>
  <si>
    <t>22/06/19</t>
  </si>
  <si>
    <t>JAYDEN SANKARA ABDULLAH</t>
  </si>
  <si>
    <t>Jayden</t>
  </si>
  <si>
    <t>HENDRY NOVIYANTO</t>
  </si>
  <si>
    <t>DIAJENG FITRI PRAMESWARI</t>
  </si>
  <si>
    <t>West Area A-5 Permata Jingga Blok Sawo No.46</t>
  </si>
  <si>
    <t>MUHAMMAD ARJUNA RAFFASYA</t>
  </si>
  <si>
    <t>JUNA</t>
  </si>
  <si>
    <t>ANDY FERYMANSYAH</t>
  </si>
  <si>
    <t>MIRANTI RIZKI PRIJAMBODO</t>
  </si>
  <si>
    <t>JL. KALPATARU 123</t>
  </si>
  <si>
    <t>MUHAMMAD ZAFRAN F</t>
  </si>
  <si>
    <t>Zafran</t>
  </si>
  <si>
    <t>AKHMAD KHOLISUL FUAD</t>
  </si>
  <si>
    <t>LOLA AGUSTIN MAULIDYA</t>
  </si>
  <si>
    <t>Jl. Soekarno Hatta GS D 320</t>
  </si>
  <si>
    <t>NADHIF IBRAHIM AZ ZUBAIR</t>
  </si>
  <si>
    <t>NADHIF</t>
  </si>
  <si>
    <t>MOCHAMAD NOVELSYAH</t>
  </si>
  <si>
    <t>SOPHIA FIRDAUSI</t>
  </si>
  <si>
    <t>PERUM PERMATA TUNGGUL WULUNG NO. C-12A</t>
  </si>
  <si>
    <t>NAYYARA AUFAA AZKADINA</t>
  </si>
  <si>
    <t>Nayya</t>
  </si>
  <si>
    <t>ARIF SUPRIYONO</t>
  </si>
  <si>
    <t>INDAH NUR HIDAYANTHI</t>
  </si>
  <si>
    <t>Jl. Bandulan 5 no 724</t>
  </si>
  <si>
    <t>RANYA LABIQA WIDAYANTO</t>
  </si>
  <si>
    <t>LABIQA</t>
  </si>
  <si>
    <t>22/10/20</t>
  </si>
  <si>
    <t>SEPTIAN TAUFAN WIDAYANTO</t>
  </si>
  <si>
    <t>UTARI APRIYANTI</t>
  </si>
  <si>
    <t>Greenorchid residence esmeralda blok F37</t>
  </si>
  <si>
    <t>RASYID ARSYANENDRA YUSUF</t>
  </si>
  <si>
    <t>RASYID</t>
  </si>
  <si>
    <t>RIZQI BILLAH BASALAMAH</t>
  </si>
  <si>
    <t>RATIH OKTA NOVANI</t>
  </si>
  <si>
    <t>Jalan Batavia Golf Boulevar No 11</t>
  </si>
  <si>
    <t>RUMAYSA KHAIRA AZZAHRA</t>
  </si>
  <si>
    <t>RUMAYSA</t>
  </si>
  <si>
    <t>26/01/21</t>
  </si>
  <si>
    <t>ARI ISWAHYUDI</t>
  </si>
  <si>
    <t>FAJRIL ULYA ROJAATU IZZAH</t>
  </si>
  <si>
    <t>Jl. MT Haryono gang 19 No.81</t>
  </si>
  <si>
    <t>SHAKILA BIRDELLA RASTI DINATA</t>
  </si>
  <si>
    <t>SHAKILA</t>
  </si>
  <si>
    <t>NGAWI</t>
  </si>
  <si>
    <t>JANUARIKO MUJISAR DINATA</t>
  </si>
  <si>
    <t>ENDAH INDRASTIN</t>
  </si>
  <si>
    <t>Jl. Balai Desa Kepuharjo</t>
  </si>
  <si>
    <t>SHAQUILLE ACHRAF MALIK ALFAREZEL</t>
  </si>
  <si>
    <t>ACHRAF</t>
  </si>
  <si>
    <t>OKIK BAGUS RIYADI</t>
  </si>
  <si>
    <t>DUSUN WUNUTSARI NO.88</t>
  </si>
  <si>
    <t>AHMAD ATHAILLAH ARSAKHA</t>
  </si>
  <si>
    <t>ATHA</t>
  </si>
  <si>
    <t>TPA</t>
  </si>
  <si>
    <t>TPA 1</t>
  </si>
  <si>
    <t>19/03/2025</t>
  </si>
  <si>
    <t>Perumahan permata Jingga West Area Blok D-25</t>
  </si>
  <si>
    <t>AISYAH ZAKIYYA SALSABILA</t>
  </si>
  <si>
    <t>SYAZA</t>
  </si>
  <si>
    <t>Jl Loji karangan donowarih karangploso kb malang</t>
  </si>
  <si>
    <t>ALEENA VIN DIMARIO</t>
  </si>
  <si>
    <t>20/11/2024</t>
  </si>
  <si>
    <t>ROMUALDUS MARIO SENDO YUWONO</t>
  </si>
  <si>
    <t>karang duren GG 4 no 14 pakisaji</t>
  </si>
  <si>
    <t>Anzala Sakinata Setiawan</t>
  </si>
  <si>
    <t>NATA</t>
  </si>
  <si>
    <t>SUGENG SETIAWAN</t>
  </si>
  <si>
    <t>Perum Jawaraland A13</t>
  </si>
  <si>
    <t>Chaira Nurhafidzah Putri Yusuf</t>
  </si>
  <si>
    <t>CHAIRA</t>
  </si>
  <si>
    <t>Kabupaten Malang</t>
  </si>
  <si>
    <t>17 Juni 2025</t>
  </si>
  <si>
    <t>MOHAMMAD YUSUF RIZAL</t>
  </si>
  <si>
    <t>Perumahan Lembah Bunder Regency Blok H-16</t>
  </si>
  <si>
    <t>INCE TSAQIB ABQARI ZIFAN SYAWALA</t>
  </si>
  <si>
    <t>TSAQIB</t>
  </si>
  <si>
    <t>NIZAM TAKDIRSYAH</t>
  </si>
  <si>
    <t>Jl. Kolonel Sugiono VF/16A</t>
  </si>
  <si>
    <t>JESNA AARIA LITUHAYU</t>
  </si>
  <si>
    <t>JESNA</t>
  </si>
  <si>
    <t>BIAS SAPTA BUMI</t>
  </si>
  <si>
    <t>Jl karangduren gang 10</t>
  </si>
  <si>
    <t>SULTHON ZAYN AHMAD ARIFIN</t>
  </si>
  <si>
    <t>SULTHON</t>
  </si>
  <si>
    <t>AHMAD RIFAI ARIFIN</t>
  </si>
  <si>
    <t>Jl. Nusa Indah Atas no.11A</t>
  </si>
  <si>
    <t>TPA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</si>
</sst>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yyyy-mm-dd"/>
    <numFmt numFmtId="166" formatCode="mm/dd/yyyy"/>
    <numFmt numFmtId="167" formatCode="d mmmm yyyy"/>
    <numFmt numFmtId="168" formatCode="mm/dd/yy"/>
  </numFmts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sz val="12.0"/>
      <color theme="1"/>
      <name val="Calibri"/>
    </font>
    <font>
      <color theme="1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4338CA"/>
        <bgColor rgb="FF4338CA"/>
      </patternFill>
    </fill>
    <fill>
      <patternFill patternType="solid">
        <fgColor rgb="FF0F766E"/>
        <bgColor rgb="FF0F766E"/>
      </patternFill>
    </fill>
    <fill>
      <patternFill patternType="solid">
        <fgColor rgb="FF0369A1"/>
        <bgColor rgb="FF0369A1"/>
      </patternFill>
    </fill>
    <fill>
      <patternFill patternType="solid">
        <fgColor rgb="FFB45309"/>
        <bgColor rgb="FFB45309"/>
      </patternFill>
    </fill>
    <fill>
      <patternFill patternType="solid">
        <fgColor rgb="FFBE123C"/>
        <bgColor rgb="FFBE123C"/>
      </patternFill>
    </fill>
    <fill>
      <patternFill patternType="solid">
        <fgColor rgb="FF334155"/>
        <bgColor rgb="FF33415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1" numFmtId="0" xfId="0" applyAlignment="1" applyFill="1" applyFont="1">
      <alignment horizontal="center"/>
    </xf>
    <xf borderId="0" fillId="4" fontId="1" numFmtId="0" xfId="0" applyAlignment="1" applyFill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0" fillId="5" fontId="1" numFmtId="0" xfId="0" applyAlignment="1" applyFill="1" applyFont="1">
      <alignment horizontal="center"/>
    </xf>
    <xf borderId="0" fillId="0" fontId="2" numFmtId="164" xfId="0" applyFont="1" applyNumberFormat="1"/>
    <xf borderId="1" fillId="0" fontId="3" numFmtId="49" xfId="0" applyAlignment="1" applyBorder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/>
    </xf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0" xfId="0" applyFont="1"/>
    <xf borderId="0" fillId="0" fontId="4" numFmtId="165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6" fontId="1" numFmtId="0" xfId="0" applyAlignment="1" applyFill="1" applyFont="1">
      <alignment horizontal="center"/>
    </xf>
    <xf borderId="0" fillId="7" fontId="1" numFmtId="0" xfId="0" applyAlignment="1" applyFill="1" applyFont="1">
      <alignment horizontal="center"/>
    </xf>
    <xf borderId="0" fillId="0" fontId="5" numFmtId="0" xfId="0" applyFont="1"/>
    <xf borderId="0" fillId="0" fontId="4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xiMVs0XRA5nFMdKvBdBZjgmUUqptlbs/preview" TargetMode="External"/><Relationship Id="rId2" Type="http://schemas.openxmlformats.org/officeDocument/2006/relationships/hyperlink" Target="https://drive.google.com/file/d/1BxiMVs0XRA5nFMdKvBdBZjgmUUqptlbs/preview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2" t="s">
        <v>1</v>
      </c>
      <c r="B1" s="2" t="s">
        <v>10</v>
      </c>
      <c r="C1" s="2" t="s">
        <v>12</v>
      </c>
      <c r="D1" s="2" t="s">
        <v>14</v>
      </c>
      <c r="E1" s="2" t="s">
        <v>15</v>
      </c>
      <c r="F1" s="2" t="s">
        <v>16</v>
      </c>
      <c r="G1" s="2" t="s">
        <v>22</v>
      </c>
      <c r="H1" s="2" t="s">
        <v>11</v>
      </c>
      <c r="I1" s="2" t="s">
        <v>13</v>
      </c>
    </row>
    <row r="2" ht="15.75" customHeight="1">
      <c r="A2" s="5" t="s">
        <v>30</v>
      </c>
      <c r="B2" s="5" t="s">
        <v>32</v>
      </c>
      <c r="C2" s="5" t="s">
        <v>34</v>
      </c>
      <c r="D2" s="4" t="s">
        <v>36</v>
      </c>
      <c r="E2" s="5" t="s">
        <v>37</v>
      </c>
      <c r="F2" s="5" t="s">
        <v>38</v>
      </c>
      <c r="G2" s="5"/>
      <c r="H2" s="5" t="s">
        <v>28</v>
      </c>
      <c r="I2" s="7">
        <v>46282.857042337964</v>
      </c>
    </row>
    <row r="3" ht="15.75" customHeight="1">
      <c r="A3" s="5" t="s">
        <v>49</v>
      </c>
      <c r="B3" s="5" t="s">
        <v>52</v>
      </c>
      <c r="C3" s="5" t="s">
        <v>54</v>
      </c>
      <c r="D3" s="4" t="s">
        <v>57</v>
      </c>
      <c r="E3" s="5" t="s">
        <v>59</v>
      </c>
      <c r="F3" s="5" t="s">
        <v>38</v>
      </c>
      <c r="G3" s="8" t="s">
        <v>66</v>
      </c>
      <c r="H3" s="5" t="s">
        <v>28</v>
      </c>
      <c r="I3" s="7">
        <v>46282.85704238426</v>
      </c>
    </row>
    <row r="4" ht="15.75" customHeight="1">
      <c r="A4" s="5" t="s">
        <v>73</v>
      </c>
      <c r="B4" s="5" t="str">
        <f>LEFT(D4,6)</f>
        <v>Fauzia</v>
      </c>
      <c r="C4" s="5" t="s">
        <v>103</v>
      </c>
      <c r="D4" s="4" t="s">
        <v>104</v>
      </c>
      <c r="E4" s="5" t="s">
        <v>106</v>
      </c>
      <c r="F4" s="5" t="s">
        <v>20</v>
      </c>
      <c r="G4" s="4">
        <v>8.1935151441E10</v>
      </c>
      <c r="H4" s="5" t="s">
        <v>28</v>
      </c>
      <c r="I4" s="7">
        <v>46282.8570424537</v>
      </c>
    </row>
    <row r="5" ht="15.75" customHeight="1">
      <c r="A5" s="5" t="s">
        <v>53</v>
      </c>
      <c r="B5" s="5" t="str">
        <f>LEFT(D5,9)</f>
        <v>Martdiyah</v>
      </c>
      <c r="C5" s="5" t="s">
        <v>103</v>
      </c>
      <c r="D5" s="4" t="s">
        <v>113</v>
      </c>
      <c r="E5" s="5" t="s">
        <v>106</v>
      </c>
      <c r="F5" s="4" t="s">
        <v>47</v>
      </c>
      <c r="G5" s="4">
        <v>8.1252445751E10</v>
      </c>
      <c r="H5" s="5" t="s">
        <v>28</v>
      </c>
      <c r="I5" s="7">
        <v>46282.857042511576</v>
      </c>
    </row>
    <row r="6" ht="15.75" customHeight="1">
      <c r="A6" s="5" t="s">
        <v>119</v>
      </c>
      <c r="B6" s="5" t="str">
        <f>LEFT(D6,4)</f>
        <v>Alfi</v>
      </c>
      <c r="C6" s="5" t="s">
        <v>103</v>
      </c>
      <c r="D6" s="4" t="s">
        <v>123</v>
      </c>
      <c r="E6" s="5" t="s">
        <v>106</v>
      </c>
      <c r="F6" s="4" t="s">
        <v>62</v>
      </c>
      <c r="G6" s="4">
        <v>8.95360548873E11</v>
      </c>
      <c r="H6" s="5" t="s">
        <v>28</v>
      </c>
      <c r="I6" s="7">
        <v>46282.857042557865</v>
      </c>
    </row>
    <row r="7" ht="15.75" customHeight="1">
      <c r="A7" s="5" t="s">
        <v>126</v>
      </c>
      <c r="B7" s="5" t="str">
        <f>LEFT(D7,10)</f>
        <v>Endriyanti</v>
      </c>
      <c r="C7" s="5" t="s">
        <v>103</v>
      </c>
      <c r="D7" s="4" t="s">
        <v>129</v>
      </c>
      <c r="E7" s="5" t="s">
        <v>106</v>
      </c>
      <c r="F7" s="4" t="s">
        <v>65</v>
      </c>
      <c r="G7" s="4">
        <v>8.1334501971E10</v>
      </c>
      <c r="H7" s="5" t="s">
        <v>28</v>
      </c>
      <c r="I7" s="7">
        <v>46282.857042627315</v>
      </c>
    </row>
    <row r="8" ht="15.75" customHeight="1">
      <c r="A8" s="5" t="s">
        <v>131</v>
      </c>
      <c r="B8" s="5" t="str">
        <f>LEFT(D8,8)</f>
        <v>Kholilah</v>
      </c>
      <c r="C8" s="5" t="s">
        <v>103</v>
      </c>
      <c r="D8" s="9" t="s">
        <v>132</v>
      </c>
      <c r="E8" s="5" t="s">
        <v>106</v>
      </c>
      <c r="F8" s="9" t="s">
        <v>67</v>
      </c>
      <c r="G8" s="9">
        <v>8.5234272445E10</v>
      </c>
      <c r="H8" s="5" t="s">
        <v>28</v>
      </c>
    </row>
    <row r="9" ht="15.75" customHeight="1">
      <c r="A9" s="5" t="s">
        <v>133</v>
      </c>
      <c r="B9" s="5" t="str">
        <f t="shared" ref="B9:B10" si="1">LEFT(D9,6)</f>
        <v>Novita</v>
      </c>
      <c r="C9" s="5" t="s">
        <v>103</v>
      </c>
      <c r="D9" s="9" t="s">
        <v>137</v>
      </c>
      <c r="E9" s="5" t="s">
        <v>106</v>
      </c>
      <c r="F9" s="9" t="s">
        <v>72</v>
      </c>
      <c r="G9" s="9">
        <v>8.12332188E9</v>
      </c>
      <c r="H9" s="5" t="s">
        <v>28</v>
      </c>
    </row>
    <row r="10" ht="15.75" customHeight="1">
      <c r="A10" s="5" t="s">
        <v>138</v>
      </c>
      <c r="B10" s="5" t="str">
        <f t="shared" si="1"/>
        <v>Ermia </v>
      </c>
      <c r="C10" s="5" t="s">
        <v>103</v>
      </c>
      <c r="D10" s="9" t="s">
        <v>141</v>
      </c>
      <c r="E10" s="5" t="s">
        <v>106</v>
      </c>
      <c r="F10" s="9" t="s">
        <v>77</v>
      </c>
      <c r="G10" s="9">
        <v>8.1805041449E10</v>
      </c>
      <c r="H10" s="5" t="s">
        <v>28</v>
      </c>
    </row>
    <row r="11" ht="15.75" customHeight="1">
      <c r="A11" s="5" t="s">
        <v>143</v>
      </c>
      <c r="B11" s="5" t="str">
        <f>LEFT(D11,4)</f>
        <v>Susy</v>
      </c>
      <c r="C11" s="5" t="s">
        <v>103</v>
      </c>
      <c r="D11" s="9" t="s">
        <v>149</v>
      </c>
      <c r="E11" s="5" t="s">
        <v>106</v>
      </c>
      <c r="F11" s="9" t="s">
        <v>78</v>
      </c>
      <c r="G11" s="9">
        <v>8.983487217E9</v>
      </c>
      <c r="H11" s="5" t="s">
        <v>28</v>
      </c>
    </row>
    <row r="12" ht="15.75" customHeight="1">
      <c r="A12" s="5" t="s">
        <v>151</v>
      </c>
      <c r="B12" s="5" t="str">
        <f t="shared" ref="B12:B15" si="2">LEFT(D12,6)</f>
        <v>Septi </v>
      </c>
      <c r="C12" s="5" t="s">
        <v>103</v>
      </c>
      <c r="D12" s="9" t="s">
        <v>156</v>
      </c>
      <c r="E12" s="5" t="s">
        <v>106</v>
      </c>
      <c r="F12" s="9" t="s">
        <v>81</v>
      </c>
      <c r="G12" s="9">
        <v>8.12212674E10</v>
      </c>
      <c r="H12" s="5" t="s">
        <v>28</v>
      </c>
    </row>
    <row r="13" ht="15.75" customHeight="1">
      <c r="A13" s="5" t="s">
        <v>159</v>
      </c>
      <c r="B13" s="5" t="str">
        <f t="shared" si="2"/>
        <v>Lilis </v>
      </c>
      <c r="C13" s="5" t="s">
        <v>103</v>
      </c>
      <c r="D13" s="9" t="s">
        <v>160</v>
      </c>
      <c r="E13" s="5" t="s">
        <v>106</v>
      </c>
      <c r="F13" s="9" t="s">
        <v>83</v>
      </c>
      <c r="G13" s="9">
        <v>8.5791243967E10</v>
      </c>
      <c r="H13" s="5" t="s">
        <v>28</v>
      </c>
    </row>
    <row r="14" ht="15.75" customHeight="1">
      <c r="A14" s="5" t="s">
        <v>163</v>
      </c>
      <c r="B14" s="5" t="str">
        <f t="shared" si="2"/>
        <v>Linda </v>
      </c>
      <c r="C14" s="5" t="s">
        <v>103</v>
      </c>
      <c r="D14" s="9" t="s">
        <v>164</v>
      </c>
      <c r="E14" s="5" t="s">
        <v>106</v>
      </c>
      <c r="F14" s="9" t="s">
        <v>85</v>
      </c>
      <c r="G14" s="9" t="s">
        <v>167</v>
      </c>
      <c r="H14" s="5" t="s">
        <v>28</v>
      </c>
    </row>
    <row r="15" ht="15.75" customHeight="1">
      <c r="A15" s="5" t="s">
        <v>169</v>
      </c>
      <c r="B15" s="5" t="str">
        <f t="shared" si="2"/>
        <v>Rahayu</v>
      </c>
      <c r="C15" s="5" t="s">
        <v>103</v>
      </c>
      <c r="D15" s="9" t="s">
        <v>172</v>
      </c>
      <c r="E15" s="5" t="s">
        <v>106</v>
      </c>
      <c r="F15" s="9" t="s">
        <v>87</v>
      </c>
      <c r="G15" s="9">
        <v>8.5872977642E10</v>
      </c>
      <c r="H15" s="5" t="s">
        <v>28</v>
      </c>
    </row>
    <row r="16" ht="15.75" customHeight="1">
      <c r="A16" s="5" t="s">
        <v>174</v>
      </c>
      <c r="B16" s="5" t="str">
        <f>LEFT(D16,7)</f>
        <v>Evi Dwi</v>
      </c>
      <c r="C16" s="5" t="s">
        <v>103</v>
      </c>
      <c r="D16" s="9" t="s">
        <v>178</v>
      </c>
      <c r="E16" s="5" t="s">
        <v>106</v>
      </c>
      <c r="F16" s="9" t="s">
        <v>89</v>
      </c>
      <c r="G16" s="9">
        <v>8.3848930518E10</v>
      </c>
      <c r="H16" s="5" t="s">
        <v>28</v>
      </c>
    </row>
    <row r="17" ht="15.75" customHeight="1">
      <c r="A17" s="5" t="s">
        <v>181</v>
      </c>
      <c r="B17" s="5" t="str">
        <f>LEFT(D17,4)</f>
        <v>Diah</v>
      </c>
      <c r="C17" s="5" t="s">
        <v>103</v>
      </c>
      <c r="D17" s="9" t="s">
        <v>185</v>
      </c>
      <c r="E17" s="5" t="s">
        <v>106</v>
      </c>
      <c r="F17" s="9" t="s">
        <v>90</v>
      </c>
      <c r="G17" s="9">
        <v>8.8217763705E10</v>
      </c>
      <c r="H17" s="5" t="s">
        <v>28</v>
      </c>
    </row>
    <row r="18" ht="15.75" customHeight="1">
      <c r="A18" s="5" t="s">
        <v>188</v>
      </c>
      <c r="B18" s="5" t="str">
        <f>LEFT(D18,6)</f>
        <v>Risty </v>
      </c>
      <c r="C18" s="5" t="s">
        <v>103</v>
      </c>
      <c r="D18" s="9" t="s">
        <v>193</v>
      </c>
      <c r="E18" s="5" t="s">
        <v>106</v>
      </c>
      <c r="F18" s="9" t="s">
        <v>94</v>
      </c>
      <c r="G18" s="9">
        <v>8.5748451175E10</v>
      </c>
      <c r="H18" s="5" t="s">
        <v>28</v>
      </c>
    </row>
    <row r="19" ht="15.75" customHeight="1">
      <c r="A19" s="5" t="s">
        <v>196</v>
      </c>
      <c r="B19" s="5" t="str">
        <f>LEFT(D19,8)</f>
        <v>Naimatul</v>
      </c>
      <c r="C19" s="5" t="s">
        <v>103</v>
      </c>
      <c r="D19" s="9" t="s">
        <v>202</v>
      </c>
      <c r="E19" s="5" t="s">
        <v>106</v>
      </c>
      <c r="F19" s="9" t="s">
        <v>96</v>
      </c>
      <c r="G19" s="9">
        <v>8.5730337721E10</v>
      </c>
      <c r="H19" s="5" t="s">
        <v>28</v>
      </c>
    </row>
    <row r="20" ht="15.75" customHeight="1">
      <c r="A20" s="4" t="s">
        <v>204</v>
      </c>
      <c r="B20" s="5" t="str">
        <f>LEFT(D20,6)</f>
        <v>Lilis </v>
      </c>
      <c r="C20" s="5" t="s">
        <v>103</v>
      </c>
      <c r="D20" s="9" t="s">
        <v>160</v>
      </c>
      <c r="E20" s="5" t="s">
        <v>106</v>
      </c>
      <c r="F20" s="9" t="s">
        <v>99</v>
      </c>
      <c r="G20" s="9">
        <v>8.5791243967E10</v>
      </c>
      <c r="H20" s="5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3" t="s">
        <v>2</v>
      </c>
      <c r="B1" s="3" t="s">
        <v>14</v>
      </c>
      <c r="C1" s="3" t="s">
        <v>18</v>
      </c>
      <c r="D1" s="3" t="s">
        <v>19</v>
      </c>
      <c r="E1" s="3" t="s">
        <v>5</v>
      </c>
      <c r="F1" s="3" t="s">
        <v>0</v>
      </c>
      <c r="G1" s="3" t="s">
        <v>21</v>
      </c>
      <c r="H1" s="3" t="s">
        <v>24</v>
      </c>
      <c r="I1" s="3" t="s">
        <v>25</v>
      </c>
      <c r="J1" s="3" t="s">
        <v>27</v>
      </c>
      <c r="K1" s="3" t="s">
        <v>29</v>
      </c>
      <c r="L1" s="3" t="s">
        <v>31</v>
      </c>
      <c r="M1" s="3" t="s">
        <v>33</v>
      </c>
      <c r="N1" s="3" t="s">
        <v>35</v>
      </c>
      <c r="O1" s="3" t="s">
        <v>13</v>
      </c>
    </row>
    <row r="2" ht="15.75" customHeight="1">
      <c r="A2" s="4">
        <v>2.6872002E7</v>
      </c>
      <c r="B2" s="4" t="s">
        <v>39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48</v>
      </c>
      <c r="I2" s="4" t="s">
        <v>63</v>
      </c>
      <c r="J2" s="4" t="s">
        <v>64</v>
      </c>
      <c r="K2" s="4">
        <v>8.2140550122E10</v>
      </c>
      <c r="L2" s="5" t="s">
        <v>28</v>
      </c>
      <c r="M2" s="4" t="s">
        <v>68</v>
      </c>
      <c r="N2" s="4">
        <v>2.6872002E7</v>
      </c>
      <c r="O2" s="7">
        <v>46282.857037939815</v>
      </c>
    </row>
    <row r="3" ht="15.75" customHeight="1">
      <c r="A3" s="4">
        <v>2.6872007E7</v>
      </c>
      <c r="B3" s="4" t="s">
        <v>71</v>
      </c>
      <c r="C3" s="4" t="s">
        <v>75</v>
      </c>
      <c r="D3" s="4" t="s">
        <v>76</v>
      </c>
      <c r="E3" s="4" t="s">
        <v>42</v>
      </c>
      <c r="F3" s="4" t="s">
        <v>43</v>
      </c>
      <c r="G3" s="4" t="s">
        <v>44</v>
      </c>
      <c r="H3" s="4" t="s">
        <v>79</v>
      </c>
      <c r="I3" s="4" t="s">
        <v>80</v>
      </c>
      <c r="J3" s="4" t="s">
        <v>82</v>
      </c>
      <c r="K3" s="4">
        <v>8.1617468559E10</v>
      </c>
      <c r="L3" s="5" t="s">
        <v>28</v>
      </c>
      <c r="M3" s="4" t="s">
        <v>84</v>
      </c>
      <c r="N3" s="4">
        <v>2.6872007E7</v>
      </c>
      <c r="O3" s="7">
        <v>46282.85703800926</v>
      </c>
    </row>
    <row r="4" ht="15.75" customHeight="1">
      <c r="A4" s="4">
        <v>2.6872008E7</v>
      </c>
      <c r="B4" s="4" t="s">
        <v>86</v>
      </c>
      <c r="C4" s="4" t="s">
        <v>88</v>
      </c>
      <c r="D4" s="4" t="s">
        <v>41</v>
      </c>
      <c r="E4" s="4" t="s">
        <v>42</v>
      </c>
      <c r="F4" s="4" t="s">
        <v>43</v>
      </c>
      <c r="G4" s="4" t="s">
        <v>44</v>
      </c>
      <c r="H4" s="4" t="s">
        <v>91</v>
      </c>
      <c r="I4" s="4" t="s">
        <v>92</v>
      </c>
      <c r="J4" s="4" t="s">
        <v>93</v>
      </c>
      <c r="K4" s="4">
        <v>8.2232869532E10</v>
      </c>
      <c r="L4" s="5" t="s">
        <v>28</v>
      </c>
      <c r="M4" s="4" t="s">
        <v>95</v>
      </c>
      <c r="N4" s="4">
        <v>2.6872008E7</v>
      </c>
      <c r="O4" s="7">
        <v>46282.85703806713</v>
      </c>
    </row>
    <row r="5" ht="15.75" customHeight="1">
      <c r="A5" s="4">
        <v>2.6872032E7</v>
      </c>
      <c r="B5" s="4" t="s">
        <v>97</v>
      </c>
      <c r="C5" s="4" t="s">
        <v>98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100</v>
      </c>
      <c r="I5" s="5"/>
      <c r="J5" s="5"/>
      <c r="K5" s="5"/>
      <c r="L5" s="5" t="s">
        <v>28</v>
      </c>
      <c r="M5" s="5"/>
      <c r="N5" s="4">
        <v>2.6872032E7</v>
      </c>
      <c r="O5" s="7">
        <v>46282.857038125</v>
      </c>
    </row>
    <row r="6" ht="15.75" customHeight="1">
      <c r="A6" s="4">
        <v>2.6872014E7</v>
      </c>
      <c r="B6" s="4" t="s">
        <v>101</v>
      </c>
      <c r="C6" s="4" t="s">
        <v>102</v>
      </c>
      <c r="D6" s="4" t="s">
        <v>41</v>
      </c>
      <c r="E6" s="4" t="s">
        <v>42</v>
      </c>
      <c r="F6" s="4" t="s">
        <v>43</v>
      </c>
      <c r="G6" s="4" t="s">
        <v>105</v>
      </c>
      <c r="H6" s="4" t="s">
        <v>107</v>
      </c>
      <c r="I6" s="4" t="s">
        <v>108</v>
      </c>
      <c r="J6" s="4" t="s">
        <v>109</v>
      </c>
      <c r="K6" s="4">
        <v>8.5707579576E10</v>
      </c>
      <c r="L6" s="5" t="s">
        <v>28</v>
      </c>
      <c r="M6" s="4" t="s">
        <v>110</v>
      </c>
      <c r="N6" s="4">
        <v>2.6872014E7</v>
      </c>
      <c r="O6" s="7">
        <v>46282.857038194445</v>
      </c>
    </row>
    <row r="7" ht="15.75" customHeight="1">
      <c r="A7" s="4">
        <v>2.6872018E7</v>
      </c>
      <c r="B7" s="4" t="s">
        <v>111</v>
      </c>
      <c r="C7" s="4" t="s">
        <v>112</v>
      </c>
      <c r="D7" s="4" t="s">
        <v>41</v>
      </c>
      <c r="E7" s="4" t="s">
        <v>42</v>
      </c>
      <c r="F7" s="4" t="s">
        <v>43</v>
      </c>
      <c r="G7" s="4" t="s">
        <v>105</v>
      </c>
      <c r="H7" s="11">
        <v>44988.0</v>
      </c>
      <c r="I7" s="4" t="s">
        <v>114</v>
      </c>
      <c r="J7" s="4" t="s">
        <v>115</v>
      </c>
      <c r="K7" s="4">
        <v>8.1249416466E10</v>
      </c>
      <c r="L7" s="5" t="s">
        <v>28</v>
      </c>
      <c r="M7" s="4" t="s">
        <v>116</v>
      </c>
      <c r="N7" s="4">
        <v>2.6872018E7</v>
      </c>
      <c r="O7" s="7">
        <v>46282.857038263886</v>
      </c>
    </row>
    <row r="8" ht="15.75" customHeight="1">
      <c r="A8" s="4">
        <v>2.6872025E7</v>
      </c>
      <c r="B8" s="4" t="s">
        <v>117</v>
      </c>
      <c r="C8" s="4" t="s">
        <v>118</v>
      </c>
      <c r="D8" s="4" t="s">
        <v>76</v>
      </c>
      <c r="E8" s="4" t="s">
        <v>42</v>
      </c>
      <c r="F8" s="4" t="s">
        <v>43</v>
      </c>
      <c r="G8" s="4" t="s">
        <v>44</v>
      </c>
      <c r="H8" s="11">
        <v>45175.0</v>
      </c>
      <c r="I8" s="4" t="s">
        <v>120</v>
      </c>
      <c r="J8" s="4" t="s">
        <v>121</v>
      </c>
      <c r="K8" s="4">
        <v>8.1235425417E10</v>
      </c>
      <c r="L8" s="5" t="s">
        <v>28</v>
      </c>
      <c r="M8" s="4" t="s">
        <v>122</v>
      </c>
      <c r="N8" s="4">
        <v>2.6872025E7</v>
      </c>
      <c r="O8" s="7">
        <v>46282.85703832176</v>
      </c>
    </row>
    <row r="9" ht="15.75" customHeight="1">
      <c r="A9" s="9">
        <v>2.6872033E7</v>
      </c>
      <c r="B9" s="9" t="s">
        <v>124</v>
      </c>
      <c r="C9" s="9" t="s">
        <v>125</v>
      </c>
      <c r="D9" s="9" t="s">
        <v>76</v>
      </c>
      <c r="E9" s="4" t="s">
        <v>42</v>
      </c>
      <c r="F9" s="9" t="s">
        <v>43</v>
      </c>
      <c r="G9" s="9" t="s">
        <v>127</v>
      </c>
      <c r="H9" s="12">
        <v>45537.0</v>
      </c>
      <c r="I9" s="9" t="s">
        <v>128</v>
      </c>
      <c r="J9" s="9" t="s">
        <v>130</v>
      </c>
      <c r="K9" s="13" t="str">
        <f>+62 895-6129-40303</f>
        <v>#ERROR!</v>
      </c>
      <c r="L9" s="5" t="s">
        <v>28</v>
      </c>
      <c r="M9" s="9" t="s">
        <v>134</v>
      </c>
      <c r="N9" s="9">
        <v>2.6872033E7</v>
      </c>
    </row>
    <row r="10" ht="15.75" customHeight="1">
      <c r="A10" s="9">
        <v>2.6872029E7</v>
      </c>
      <c r="B10" s="9" t="s">
        <v>135</v>
      </c>
      <c r="C10" s="9" t="s">
        <v>136</v>
      </c>
      <c r="D10" s="9" t="s">
        <v>76</v>
      </c>
      <c r="E10" s="4" t="s">
        <v>42</v>
      </c>
      <c r="F10" s="9" t="s">
        <v>43</v>
      </c>
      <c r="G10" s="9" t="s">
        <v>127</v>
      </c>
      <c r="H10" s="14">
        <v>45178.0</v>
      </c>
      <c r="I10" s="9" t="s">
        <v>139</v>
      </c>
      <c r="J10" s="9" t="s">
        <v>140</v>
      </c>
      <c r="K10" s="9">
        <v>8.5815239259E10</v>
      </c>
      <c r="L10" s="5" t="s">
        <v>28</v>
      </c>
      <c r="M10" s="9" t="s">
        <v>142</v>
      </c>
      <c r="N10" s="9">
        <v>2.6872029E7</v>
      </c>
    </row>
    <row r="11" ht="15.75" customHeight="1">
      <c r="A11" s="9">
        <v>2.6872031E7</v>
      </c>
      <c r="B11" s="9" t="s">
        <v>144</v>
      </c>
      <c r="C11" s="9" t="s">
        <v>145</v>
      </c>
      <c r="D11" s="9" t="s">
        <v>76</v>
      </c>
      <c r="E11" s="4" t="s">
        <v>42</v>
      </c>
      <c r="F11" s="9" t="s">
        <v>43</v>
      </c>
      <c r="G11" s="9" t="s">
        <v>44</v>
      </c>
      <c r="H11" s="9" t="s">
        <v>146</v>
      </c>
      <c r="I11" s="9" t="s">
        <v>147</v>
      </c>
      <c r="J11" s="9" t="s">
        <v>148</v>
      </c>
      <c r="K11" s="9">
        <v>8.5266664458E10</v>
      </c>
      <c r="L11" s="5" t="s">
        <v>28</v>
      </c>
      <c r="M11" s="9" t="s">
        <v>150</v>
      </c>
      <c r="N11" s="9">
        <v>2.6872031E7</v>
      </c>
    </row>
    <row r="12" ht="15.75" customHeight="1">
      <c r="A12" s="9">
        <v>2.6872001E7</v>
      </c>
      <c r="B12" s="9" t="s">
        <v>152</v>
      </c>
      <c r="C12" s="9" t="s">
        <v>153</v>
      </c>
      <c r="D12" s="9" t="s">
        <v>76</v>
      </c>
      <c r="E12" s="4" t="s">
        <v>42</v>
      </c>
      <c r="F12" s="9" t="s">
        <v>154</v>
      </c>
      <c r="G12" s="9" t="s">
        <v>44</v>
      </c>
      <c r="H12" s="12">
        <v>45297.0</v>
      </c>
      <c r="I12" s="9" t="s">
        <v>155</v>
      </c>
      <c r="J12" s="9" t="s">
        <v>157</v>
      </c>
      <c r="K12" s="9">
        <v>8.2211225751E10</v>
      </c>
      <c r="L12" s="5" t="s">
        <v>28</v>
      </c>
      <c r="M12" s="9" t="s">
        <v>158</v>
      </c>
      <c r="N12" s="9">
        <v>2.6872001E7</v>
      </c>
    </row>
    <row r="13" ht="15.75" customHeight="1">
      <c r="A13" s="9">
        <v>2.6872004E7</v>
      </c>
      <c r="B13" s="9" t="s">
        <v>161</v>
      </c>
      <c r="C13" s="9" t="s">
        <v>162</v>
      </c>
      <c r="D13" s="9" t="s">
        <v>76</v>
      </c>
      <c r="E13" s="4" t="s">
        <v>42</v>
      </c>
      <c r="F13" s="9" t="s">
        <v>154</v>
      </c>
      <c r="G13" s="9" t="s">
        <v>165</v>
      </c>
      <c r="H13" s="12">
        <v>45055.0</v>
      </c>
      <c r="I13" s="9" t="s">
        <v>166</v>
      </c>
      <c r="J13" s="9" t="s">
        <v>168</v>
      </c>
      <c r="K13" s="9">
        <v>8.1252682952E10</v>
      </c>
      <c r="L13" s="5" t="s">
        <v>28</v>
      </c>
      <c r="M13" s="9" t="s">
        <v>170</v>
      </c>
      <c r="N13" s="9">
        <v>2.6872004E7</v>
      </c>
    </row>
    <row r="14" ht="15.75" customHeight="1">
      <c r="A14" s="9">
        <v>2.6872006E7</v>
      </c>
      <c r="B14" s="9" t="s">
        <v>171</v>
      </c>
      <c r="C14" s="9" t="s">
        <v>173</v>
      </c>
      <c r="D14" s="9" t="s">
        <v>76</v>
      </c>
      <c r="E14" s="4" t="s">
        <v>42</v>
      </c>
      <c r="F14" s="9" t="s">
        <v>154</v>
      </c>
      <c r="G14" s="9" t="s">
        <v>105</v>
      </c>
      <c r="H14" s="9" t="s">
        <v>91</v>
      </c>
      <c r="I14" s="9" t="s">
        <v>175</v>
      </c>
      <c r="J14" s="9" t="s">
        <v>176</v>
      </c>
      <c r="K14" s="9">
        <v>8.1805106915E10</v>
      </c>
      <c r="L14" s="5" t="s">
        <v>28</v>
      </c>
      <c r="M14" s="9" t="s">
        <v>177</v>
      </c>
      <c r="N14" s="9">
        <v>2.6872006E7</v>
      </c>
    </row>
    <row r="15" ht="15.75" customHeight="1">
      <c r="A15" s="9">
        <v>2.6872009E7</v>
      </c>
      <c r="B15" s="9" t="s">
        <v>179</v>
      </c>
      <c r="C15" s="9" t="s">
        <v>180</v>
      </c>
      <c r="D15" s="9" t="s">
        <v>41</v>
      </c>
      <c r="E15" s="4" t="s">
        <v>42</v>
      </c>
      <c r="F15" s="9" t="s">
        <v>154</v>
      </c>
      <c r="G15" s="9" t="s">
        <v>127</v>
      </c>
      <c r="H15" s="14">
        <v>45201.0</v>
      </c>
      <c r="I15" s="9" t="s">
        <v>182</v>
      </c>
      <c r="J15" s="9" t="s">
        <v>183</v>
      </c>
      <c r="K15" s="9">
        <v>8.2230562153E10</v>
      </c>
      <c r="L15" s="5" t="s">
        <v>28</v>
      </c>
      <c r="M15" s="9" t="s">
        <v>184</v>
      </c>
      <c r="N15" s="9">
        <v>2.6872009E7</v>
      </c>
    </row>
    <row r="16" ht="15.75" customHeight="1">
      <c r="A16" s="9">
        <v>2.687201E7</v>
      </c>
      <c r="B16" s="9" t="s">
        <v>186</v>
      </c>
      <c r="C16" s="9" t="s">
        <v>187</v>
      </c>
      <c r="D16" s="9" t="s">
        <v>41</v>
      </c>
      <c r="E16" s="4" t="s">
        <v>42</v>
      </c>
      <c r="F16" s="9" t="s">
        <v>154</v>
      </c>
      <c r="G16" s="9" t="s">
        <v>105</v>
      </c>
      <c r="H16" s="9" t="s">
        <v>189</v>
      </c>
      <c r="I16" s="9" t="s">
        <v>190</v>
      </c>
      <c r="J16" s="9" t="s">
        <v>191</v>
      </c>
      <c r="K16" s="9">
        <v>8.1333660881E10</v>
      </c>
      <c r="L16" s="5" t="s">
        <v>28</v>
      </c>
      <c r="M16" s="9" t="s">
        <v>192</v>
      </c>
      <c r="N16" s="9">
        <v>2.687201E7</v>
      </c>
    </row>
    <row r="17" ht="15.75" customHeight="1">
      <c r="A17" s="9">
        <v>2.6872012E7</v>
      </c>
      <c r="B17" s="9" t="s">
        <v>194</v>
      </c>
      <c r="C17" s="9" t="s">
        <v>195</v>
      </c>
      <c r="D17" s="9" t="s">
        <v>76</v>
      </c>
      <c r="E17" s="4" t="s">
        <v>42</v>
      </c>
      <c r="F17" s="9" t="s">
        <v>154</v>
      </c>
      <c r="G17" s="9" t="s">
        <v>127</v>
      </c>
      <c r="H17" s="9" t="s">
        <v>197</v>
      </c>
      <c r="I17" s="9" t="s">
        <v>198</v>
      </c>
      <c r="J17" s="9" t="s">
        <v>199</v>
      </c>
      <c r="K17" s="9">
        <v>8.1222232379E10</v>
      </c>
      <c r="L17" s="5" t="s">
        <v>28</v>
      </c>
      <c r="M17" s="9" t="s">
        <v>200</v>
      </c>
      <c r="N17" s="9">
        <v>2.6872012E7</v>
      </c>
    </row>
    <row r="18" ht="15.75" customHeight="1">
      <c r="A18" s="9">
        <v>2.6872017E7</v>
      </c>
      <c r="B18" s="9" t="s">
        <v>201</v>
      </c>
      <c r="C18" s="9" t="s">
        <v>203</v>
      </c>
      <c r="D18" s="9" t="s">
        <v>41</v>
      </c>
      <c r="E18" s="4" t="s">
        <v>42</v>
      </c>
      <c r="F18" s="9" t="s">
        <v>154</v>
      </c>
      <c r="G18" s="9" t="s">
        <v>105</v>
      </c>
      <c r="H18" s="9" t="s">
        <v>205</v>
      </c>
      <c r="I18" s="9" t="s">
        <v>206</v>
      </c>
      <c r="J18" s="9" t="s">
        <v>207</v>
      </c>
      <c r="K18" s="9">
        <v>8.7860150092E10</v>
      </c>
      <c r="L18" s="5" t="s">
        <v>28</v>
      </c>
      <c r="M18" s="9" t="s">
        <v>208</v>
      </c>
      <c r="N18" s="9">
        <v>2.6872017E7</v>
      </c>
    </row>
    <row r="19" ht="15.75" customHeight="1">
      <c r="A19" s="9">
        <v>2.6872022E7</v>
      </c>
      <c r="B19" s="9" t="s">
        <v>209</v>
      </c>
      <c r="C19" s="9" t="s">
        <v>210</v>
      </c>
      <c r="D19" s="9" t="s">
        <v>41</v>
      </c>
      <c r="E19" s="4" t="s">
        <v>42</v>
      </c>
      <c r="F19" s="9" t="s">
        <v>154</v>
      </c>
      <c r="G19" s="9" t="s">
        <v>127</v>
      </c>
      <c r="H19" s="14">
        <v>45452.0</v>
      </c>
      <c r="I19" s="9" t="s">
        <v>211</v>
      </c>
      <c r="J19" s="9" t="s">
        <v>212</v>
      </c>
      <c r="K19" s="9">
        <v>8.2188437398E10</v>
      </c>
      <c r="L19" s="5" t="s">
        <v>28</v>
      </c>
      <c r="M19" s="9" t="s">
        <v>213</v>
      </c>
      <c r="N19" s="9">
        <v>2.6872022E7</v>
      </c>
    </row>
    <row r="20" ht="15.75" customHeight="1">
      <c r="A20" s="9">
        <v>2.6872034E7</v>
      </c>
      <c r="B20" s="9" t="s">
        <v>214</v>
      </c>
      <c r="C20" s="9" t="s">
        <v>215</v>
      </c>
      <c r="D20" s="9" t="s">
        <v>76</v>
      </c>
      <c r="E20" s="4" t="s">
        <v>42</v>
      </c>
      <c r="F20" s="9" t="s">
        <v>154</v>
      </c>
      <c r="G20" s="9" t="s">
        <v>105</v>
      </c>
      <c r="H20" s="12">
        <v>44969.0</v>
      </c>
      <c r="I20" s="9" t="s">
        <v>216</v>
      </c>
      <c r="J20" s="9" t="s">
        <v>217</v>
      </c>
      <c r="K20" s="9">
        <v>8.5785224404E10</v>
      </c>
      <c r="L20" s="5" t="s">
        <v>28</v>
      </c>
      <c r="M20" s="9" t="s">
        <v>218</v>
      </c>
      <c r="N20" s="9">
        <v>2.6872034E7</v>
      </c>
    </row>
    <row r="21" ht="15.75" customHeight="1">
      <c r="A21" s="9">
        <v>2.6872035E7</v>
      </c>
      <c r="B21" s="9" t="s">
        <v>219</v>
      </c>
      <c r="C21" s="9" t="s">
        <v>220</v>
      </c>
      <c r="D21" s="9" t="s">
        <v>76</v>
      </c>
      <c r="E21" s="9" t="s">
        <v>221</v>
      </c>
      <c r="F21" s="9" t="s">
        <v>222</v>
      </c>
      <c r="G21" s="9" t="s">
        <v>44</v>
      </c>
      <c r="H21" s="12">
        <v>44723.0</v>
      </c>
      <c r="I21" s="9" t="s">
        <v>223</v>
      </c>
      <c r="J21" s="9" t="s">
        <v>224</v>
      </c>
      <c r="K21" s="9">
        <v>8.9603062813E10</v>
      </c>
      <c r="L21" s="5" t="s">
        <v>28</v>
      </c>
      <c r="M21" s="9" t="s">
        <v>225</v>
      </c>
      <c r="N21" s="9">
        <v>2.6872035E7</v>
      </c>
    </row>
    <row r="22" ht="15.75" customHeight="1">
      <c r="A22" s="9">
        <v>2.5872007E7</v>
      </c>
      <c r="B22" s="9" t="s">
        <v>226</v>
      </c>
      <c r="C22" s="9" t="s">
        <v>227</v>
      </c>
      <c r="D22" s="9" t="s">
        <v>76</v>
      </c>
      <c r="E22" s="9" t="s">
        <v>221</v>
      </c>
      <c r="F22" s="9" t="s">
        <v>222</v>
      </c>
      <c r="G22" s="9" t="s">
        <v>44</v>
      </c>
      <c r="H22" s="15">
        <v>44831.0</v>
      </c>
      <c r="I22" s="9" t="s">
        <v>228</v>
      </c>
      <c r="J22" s="9" t="s">
        <v>229</v>
      </c>
      <c r="K22" s="9">
        <v>8.2350071989E10</v>
      </c>
      <c r="L22" s="5" t="s">
        <v>28</v>
      </c>
      <c r="M22" s="9" t="s">
        <v>230</v>
      </c>
      <c r="N22" s="9">
        <v>2.5872007E7</v>
      </c>
    </row>
    <row r="23" ht="15.75" customHeight="1">
      <c r="A23" s="9">
        <v>2.4872035E7</v>
      </c>
      <c r="B23" s="9" t="s">
        <v>231</v>
      </c>
      <c r="C23" s="9" t="s">
        <v>232</v>
      </c>
      <c r="D23" s="9" t="s">
        <v>76</v>
      </c>
      <c r="E23" s="9" t="s">
        <v>221</v>
      </c>
      <c r="F23" s="9" t="s">
        <v>222</v>
      </c>
      <c r="G23" s="9" t="s">
        <v>105</v>
      </c>
      <c r="H23" s="9" t="s">
        <v>233</v>
      </c>
      <c r="I23" s="9" t="s">
        <v>234</v>
      </c>
      <c r="J23" s="9" t="s">
        <v>235</v>
      </c>
      <c r="K23" s="9">
        <v>8.113032332E9</v>
      </c>
      <c r="L23" s="5" t="s">
        <v>28</v>
      </c>
      <c r="M23" s="9" t="s">
        <v>236</v>
      </c>
      <c r="N23" s="9">
        <v>2.4872035E7</v>
      </c>
    </row>
    <row r="24" ht="15.75" customHeight="1">
      <c r="A24" s="9">
        <v>2.5872004E7</v>
      </c>
      <c r="B24" s="9" t="s">
        <v>237</v>
      </c>
      <c r="C24" s="9" t="s">
        <v>238</v>
      </c>
      <c r="D24" s="9" t="s">
        <v>41</v>
      </c>
      <c r="E24" s="9" t="s">
        <v>221</v>
      </c>
      <c r="F24" s="9" t="s">
        <v>222</v>
      </c>
      <c r="G24" s="9" t="s">
        <v>44</v>
      </c>
      <c r="H24" s="9" t="s">
        <v>239</v>
      </c>
      <c r="I24" s="9" t="s">
        <v>240</v>
      </c>
      <c r="J24" s="9" t="s">
        <v>241</v>
      </c>
      <c r="K24" s="9">
        <v>8.224545369E10</v>
      </c>
      <c r="L24" s="5" t="s">
        <v>28</v>
      </c>
      <c r="M24" s="9" t="s">
        <v>242</v>
      </c>
      <c r="N24" s="9">
        <v>2.5872004E7</v>
      </c>
    </row>
    <row r="25" ht="15.75" customHeight="1">
      <c r="A25" s="9">
        <v>2.587201E7</v>
      </c>
      <c r="B25" s="9" t="s">
        <v>243</v>
      </c>
      <c r="C25" s="9" t="s">
        <v>244</v>
      </c>
      <c r="D25" s="9" t="s">
        <v>76</v>
      </c>
      <c r="E25" s="9" t="s">
        <v>221</v>
      </c>
      <c r="F25" s="9" t="s">
        <v>222</v>
      </c>
      <c r="G25" s="9" t="s">
        <v>44</v>
      </c>
      <c r="H25" s="15">
        <v>44834.0</v>
      </c>
      <c r="I25" s="9" t="s">
        <v>245</v>
      </c>
      <c r="J25" s="9" t="s">
        <v>246</v>
      </c>
      <c r="K25" s="9">
        <v>8.1333422422E10</v>
      </c>
      <c r="L25" s="5" t="s">
        <v>28</v>
      </c>
      <c r="M25" s="9" t="s">
        <v>247</v>
      </c>
      <c r="N25" s="9">
        <v>2.587201E7</v>
      </c>
    </row>
    <row r="26" ht="15.75" customHeight="1">
      <c r="A26" s="9">
        <v>2.6872021E7</v>
      </c>
      <c r="B26" s="9" t="s">
        <v>248</v>
      </c>
      <c r="C26" s="9" t="s">
        <v>249</v>
      </c>
      <c r="D26" s="9" t="s">
        <v>41</v>
      </c>
      <c r="E26" s="9" t="s">
        <v>221</v>
      </c>
      <c r="F26" s="9" t="s">
        <v>222</v>
      </c>
      <c r="G26" s="9" t="s">
        <v>44</v>
      </c>
      <c r="H26" s="12">
        <v>44631.0</v>
      </c>
      <c r="I26" s="9" t="s">
        <v>250</v>
      </c>
      <c r="J26" s="9" t="s">
        <v>251</v>
      </c>
      <c r="K26" s="9">
        <v>8.1348060303E10</v>
      </c>
      <c r="L26" s="5" t="s">
        <v>28</v>
      </c>
      <c r="M26" s="9" t="s">
        <v>252</v>
      </c>
      <c r="N26" s="9">
        <v>2.6872021E7</v>
      </c>
    </row>
    <row r="27" ht="15.75" customHeight="1">
      <c r="A27" s="9">
        <v>2.5872013E7</v>
      </c>
      <c r="B27" s="9" t="s">
        <v>253</v>
      </c>
      <c r="C27" s="9" t="s">
        <v>254</v>
      </c>
      <c r="D27" s="9" t="s">
        <v>41</v>
      </c>
      <c r="E27" s="9" t="s">
        <v>221</v>
      </c>
      <c r="F27" s="9" t="s">
        <v>222</v>
      </c>
      <c r="G27" s="9" t="s">
        <v>105</v>
      </c>
      <c r="H27" s="9" t="s">
        <v>255</v>
      </c>
      <c r="I27" s="9" t="s">
        <v>256</v>
      </c>
      <c r="J27" s="9" t="s">
        <v>257</v>
      </c>
      <c r="K27" s="9">
        <v>8.1234265333E10</v>
      </c>
      <c r="L27" s="5" t="s">
        <v>28</v>
      </c>
      <c r="M27" s="9" t="s">
        <v>258</v>
      </c>
      <c r="N27" s="9">
        <v>2.5872013E7</v>
      </c>
    </row>
    <row r="28" ht="15.75" customHeight="1">
      <c r="A28" s="9">
        <v>2.6872023E7</v>
      </c>
      <c r="B28" s="9" t="s">
        <v>259</v>
      </c>
      <c r="C28" s="9" t="s">
        <v>260</v>
      </c>
      <c r="D28" s="9" t="s">
        <v>76</v>
      </c>
      <c r="E28" s="9" t="s">
        <v>221</v>
      </c>
      <c r="F28" s="9" t="s">
        <v>222</v>
      </c>
      <c r="G28" s="9" t="s">
        <v>261</v>
      </c>
      <c r="H28" s="12">
        <v>44783.0</v>
      </c>
      <c r="I28" s="9" t="s">
        <v>262</v>
      </c>
      <c r="J28" s="9" t="s">
        <v>263</v>
      </c>
      <c r="K28" s="9">
        <v>8.1370431569E10</v>
      </c>
      <c r="L28" s="5" t="s">
        <v>28</v>
      </c>
      <c r="M28" s="9" t="s">
        <v>264</v>
      </c>
      <c r="N28" s="9">
        <v>2.6872023E7</v>
      </c>
    </row>
    <row r="29" ht="15.75" customHeight="1">
      <c r="A29" s="9">
        <v>2.6872024E7</v>
      </c>
      <c r="B29" s="9" t="s">
        <v>265</v>
      </c>
      <c r="C29" s="9" t="s">
        <v>266</v>
      </c>
      <c r="D29" s="9" t="s">
        <v>41</v>
      </c>
      <c r="E29" s="9" t="s">
        <v>221</v>
      </c>
      <c r="F29" s="9" t="s">
        <v>222</v>
      </c>
      <c r="G29" s="9" t="s">
        <v>44</v>
      </c>
      <c r="H29" s="9" t="s">
        <v>267</v>
      </c>
      <c r="I29" s="9" t="s">
        <v>268</v>
      </c>
      <c r="J29" s="9" t="s">
        <v>269</v>
      </c>
      <c r="K29" s="9">
        <v>8.2244750007E10</v>
      </c>
      <c r="L29" s="5" t="s">
        <v>28</v>
      </c>
      <c r="M29" s="9" t="s">
        <v>270</v>
      </c>
      <c r="N29" s="9">
        <v>2.6872024E7</v>
      </c>
    </row>
    <row r="30" ht="15.75" customHeight="1">
      <c r="A30" s="9">
        <v>2.5872006E7</v>
      </c>
      <c r="B30" s="9" t="s">
        <v>271</v>
      </c>
      <c r="C30" s="9" t="s">
        <v>272</v>
      </c>
      <c r="D30" s="9" t="s">
        <v>41</v>
      </c>
      <c r="E30" s="9" t="s">
        <v>221</v>
      </c>
      <c r="F30" s="9" t="s">
        <v>222</v>
      </c>
      <c r="G30" s="9" t="s">
        <v>105</v>
      </c>
      <c r="H30" s="9" t="s">
        <v>273</v>
      </c>
      <c r="I30" s="9" t="s">
        <v>274</v>
      </c>
      <c r="J30" s="9" t="s">
        <v>275</v>
      </c>
      <c r="K30" s="9">
        <v>8.1230192591E10</v>
      </c>
      <c r="L30" s="5" t="s">
        <v>28</v>
      </c>
      <c r="M30" s="9" t="s">
        <v>276</v>
      </c>
      <c r="N30" s="9">
        <v>2.5872006E7</v>
      </c>
    </row>
    <row r="31" ht="15.75" customHeight="1">
      <c r="A31" s="9">
        <v>2.6872027E7</v>
      </c>
      <c r="B31" s="9" t="s">
        <v>277</v>
      </c>
      <c r="C31" s="9" t="s">
        <v>278</v>
      </c>
      <c r="D31" s="9" t="s">
        <v>41</v>
      </c>
      <c r="E31" s="9" t="s">
        <v>221</v>
      </c>
      <c r="F31" s="9" t="s">
        <v>222</v>
      </c>
      <c r="G31" s="9" t="s">
        <v>105</v>
      </c>
      <c r="H31" s="12">
        <v>44571.0</v>
      </c>
      <c r="I31" s="9" t="s">
        <v>279</v>
      </c>
      <c r="J31" s="9" t="s">
        <v>280</v>
      </c>
      <c r="K31" s="9">
        <v>8.11281812E8</v>
      </c>
      <c r="L31" s="5" t="s">
        <v>28</v>
      </c>
      <c r="M31" s="9" t="s">
        <v>281</v>
      </c>
      <c r="N31" s="9">
        <v>2.6872027E7</v>
      </c>
    </row>
    <row r="32" ht="15.75" customHeight="1">
      <c r="A32" s="9" t="e">
        <v>#N/A</v>
      </c>
      <c r="B32" s="9" t="s">
        <v>282</v>
      </c>
      <c r="C32" s="9" t="s">
        <v>283</v>
      </c>
      <c r="D32" s="9" t="s">
        <v>76</v>
      </c>
      <c r="E32" s="9" t="s">
        <v>221</v>
      </c>
      <c r="F32" s="9" t="s">
        <v>222</v>
      </c>
      <c r="G32" s="9" t="s">
        <v>44</v>
      </c>
      <c r="H32" s="9" t="s">
        <v>284</v>
      </c>
      <c r="I32" s="9" t="s">
        <v>285</v>
      </c>
      <c r="J32" s="9" t="s">
        <v>286</v>
      </c>
      <c r="K32" s="9">
        <v>8.2129229245E10</v>
      </c>
      <c r="L32" s="5" t="s">
        <v>28</v>
      </c>
      <c r="M32" s="9" t="s">
        <v>287</v>
      </c>
      <c r="N32" s="9" t="e">
        <v>#N/A</v>
      </c>
    </row>
    <row r="33" ht="15.75" customHeight="1">
      <c r="A33" s="9" t="e">
        <v>#N/A</v>
      </c>
      <c r="B33" s="9" t="s">
        <v>288</v>
      </c>
      <c r="C33" s="9" t="s">
        <v>289</v>
      </c>
      <c r="D33" s="9" t="s">
        <v>76</v>
      </c>
      <c r="E33" s="9" t="s">
        <v>221</v>
      </c>
      <c r="F33" s="9" t="s">
        <v>290</v>
      </c>
      <c r="G33" s="9" t="s">
        <v>44</v>
      </c>
      <c r="H33" s="9" t="s">
        <v>291</v>
      </c>
      <c r="I33" s="9" t="s">
        <v>292</v>
      </c>
      <c r="J33" s="9" t="s">
        <v>293</v>
      </c>
      <c r="K33" s="9">
        <v>8.1254929742E10</v>
      </c>
      <c r="L33" s="5" t="s">
        <v>28</v>
      </c>
      <c r="M33" s="9" t="s">
        <v>294</v>
      </c>
      <c r="N33" s="9" t="e">
        <v>#N/A</v>
      </c>
    </row>
    <row r="34" ht="15.75" customHeight="1">
      <c r="A34" s="9">
        <v>2.6872036E7</v>
      </c>
      <c r="B34" s="9" t="s">
        <v>295</v>
      </c>
      <c r="C34" s="9" t="s">
        <v>296</v>
      </c>
      <c r="D34" s="9" t="s">
        <v>41</v>
      </c>
      <c r="E34" s="9" t="s">
        <v>221</v>
      </c>
      <c r="F34" s="9" t="s">
        <v>290</v>
      </c>
      <c r="G34" s="9" t="s">
        <v>44</v>
      </c>
      <c r="H34" s="9" t="s">
        <v>297</v>
      </c>
      <c r="I34" s="9" t="s">
        <v>298</v>
      </c>
      <c r="J34" s="9" t="s">
        <v>299</v>
      </c>
      <c r="K34" s="9">
        <v>8.17388554E8</v>
      </c>
      <c r="L34" s="5" t="s">
        <v>28</v>
      </c>
      <c r="M34" s="9" t="s">
        <v>300</v>
      </c>
      <c r="N34" s="9">
        <v>2.6872036E7</v>
      </c>
    </row>
    <row r="35" ht="15.75" customHeight="1">
      <c r="A35" s="9">
        <v>2.5872036E7</v>
      </c>
      <c r="B35" s="9" t="s">
        <v>301</v>
      </c>
      <c r="C35" s="9" t="s">
        <v>302</v>
      </c>
      <c r="D35" s="9" t="s">
        <v>76</v>
      </c>
      <c r="E35" s="9" t="s">
        <v>221</v>
      </c>
      <c r="F35" s="9" t="s">
        <v>290</v>
      </c>
      <c r="G35" s="9" t="s">
        <v>44</v>
      </c>
      <c r="H35" s="9" t="s">
        <v>303</v>
      </c>
      <c r="I35" s="9" t="s">
        <v>304</v>
      </c>
      <c r="J35" s="9" t="s">
        <v>305</v>
      </c>
      <c r="K35" s="9">
        <v>8.9643360859E10</v>
      </c>
      <c r="L35" s="5" t="s">
        <v>28</v>
      </c>
      <c r="M35" s="9" t="s">
        <v>306</v>
      </c>
      <c r="N35" s="9">
        <v>2.5872036E7</v>
      </c>
    </row>
    <row r="36" ht="15.75" customHeight="1">
      <c r="A36" s="9">
        <v>2.6872015E7</v>
      </c>
      <c r="B36" s="9" t="s">
        <v>307</v>
      </c>
      <c r="C36" s="9" t="s">
        <v>308</v>
      </c>
      <c r="D36" s="9" t="s">
        <v>76</v>
      </c>
      <c r="E36" s="9" t="s">
        <v>221</v>
      </c>
      <c r="F36" s="9" t="s">
        <v>290</v>
      </c>
      <c r="G36" s="9" t="s">
        <v>309</v>
      </c>
      <c r="H36" s="12">
        <v>44988.0</v>
      </c>
      <c r="I36" s="9" t="s">
        <v>310</v>
      </c>
      <c r="J36" s="9" t="s">
        <v>311</v>
      </c>
      <c r="K36" s="9">
        <v>8.2229244424E10</v>
      </c>
      <c r="L36" s="5" t="s">
        <v>28</v>
      </c>
      <c r="M36" s="9" t="s">
        <v>312</v>
      </c>
      <c r="N36" s="9">
        <v>2.6872015E7</v>
      </c>
    </row>
    <row r="37" ht="15.75" customHeight="1">
      <c r="A37" s="9">
        <v>2.6872016E7</v>
      </c>
      <c r="B37" s="9" t="s">
        <v>313</v>
      </c>
      <c r="C37" s="9" t="s">
        <v>314</v>
      </c>
      <c r="D37" s="9" t="s">
        <v>41</v>
      </c>
      <c r="E37" s="9" t="s">
        <v>221</v>
      </c>
      <c r="F37" s="9" t="s">
        <v>290</v>
      </c>
      <c r="G37" s="9" t="s">
        <v>315</v>
      </c>
      <c r="H37" s="12">
        <v>45202.0</v>
      </c>
      <c r="I37" s="9" t="s">
        <v>316</v>
      </c>
      <c r="J37" s="9" t="s">
        <v>317</v>
      </c>
      <c r="K37" s="9">
        <v>8.1233401998E10</v>
      </c>
      <c r="L37" s="5" t="s">
        <v>28</v>
      </c>
      <c r="M37" s="9" t="s">
        <v>318</v>
      </c>
      <c r="N37" s="9">
        <v>2.6872016E7</v>
      </c>
    </row>
    <row r="38" ht="15.75" customHeight="1">
      <c r="A38" s="9">
        <v>2.5872012E7</v>
      </c>
      <c r="B38" s="9" t="s">
        <v>319</v>
      </c>
      <c r="C38" s="9" t="s">
        <v>320</v>
      </c>
      <c r="D38" s="9" t="s">
        <v>41</v>
      </c>
      <c r="E38" s="9" t="s">
        <v>221</v>
      </c>
      <c r="F38" s="9" t="s">
        <v>290</v>
      </c>
      <c r="G38" s="9" t="s">
        <v>44</v>
      </c>
      <c r="H38" s="15">
        <v>44821.0</v>
      </c>
      <c r="I38" s="9" t="s">
        <v>206</v>
      </c>
      <c r="J38" s="9" t="s">
        <v>207</v>
      </c>
      <c r="K38" s="9">
        <v>8.7860150092E10</v>
      </c>
      <c r="L38" s="5" t="s">
        <v>28</v>
      </c>
      <c r="M38" s="9" t="s">
        <v>321</v>
      </c>
      <c r="N38" s="9">
        <v>2.5872012E7</v>
      </c>
    </row>
    <row r="39" ht="15.75" customHeight="1">
      <c r="A39" s="9">
        <v>2.6872019E7</v>
      </c>
      <c r="B39" s="9" t="s">
        <v>322</v>
      </c>
      <c r="C39" s="9" t="s">
        <v>323</v>
      </c>
      <c r="D39" s="9" t="s">
        <v>41</v>
      </c>
      <c r="E39" s="9" t="s">
        <v>221</v>
      </c>
      <c r="F39" s="9" t="s">
        <v>290</v>
      </c>
      <c r="G39" s="9" t="s">
        <v>261</v>
      </c>
      <c r="H39" s="9" t="s">
        <v>324</v>
      </c>
      <c r="I39" s="9" t="s">
        <v>325</v>
      </c>
      <c r="J39" s="9" t="s">
        <v>326</v>
      </c>
      <c r="K39" s="9">
        <v>8.7772576625E10</v>
      </c>
      <c r="L39" s="5" t="s">
        <v>28</v>
      </c>
      <c r="M39" s="9" t="s">
        <v>327</v>
      </c>
      <c r="N39" s="9">
        <v>2.6872019E7</v>
      </c>
    </row>
    <row r="40" ht="15.75" customHeight="1">
      <c r="A40" s="9">
        <v>2.5872016E7</v>
      </c>
      <c r="B40" s="9" t="s">
        <v>328</v>
      </c>
      <c r="C40" s="9" t="s">
        <v>329</v>
      </c>
      <c r="D40" s="9" t="s">
        <v>76</v>
      </c>
      <c r="E40" s="9" t="s">
        <v>221</v>
      </c>
      <c r="F40" s="9" t="s">
        <v>290</v>
      </c>
      <c r="G40" s="9" t="s">
        <v>330</v>
      </c>
      <c r="H40" s="9" t="s">
        <v>331</v>
      </c>
      <c r="I40" s="9" t="s">
        <v>332</v>
      </c>
      <c r="J40" s="9" t="s">
        <v>333</v>
      </c>
      <c r="K40" s="9">
        <v>8.2252670195E10</v>
      </c>
      <c r="L40" s="5" t="s">
        <v>28</v>
      </c>
      <c r="M40" s="9" t="s">
        <v>334</v>
      </c>
      <c r="N40" s="9">
        <v>2.5872016E7</v>
      </c>
    </row>
    <row r="41" ht="15.75" customHeight="1">
      <c r="A41" s="9">
        <v>2.5872017E7</v>
      </c>
      <c r="B41" s="9" t="s">
        <v>335</v>
      </c>
      <c r="C41" s="9" t="s">
        <v>336</v>
      </c>
      <c r="D41" s="9" t="s">
        <v>41</v>
      </c>
      <c r="E41" s="9" t="s">
        <v>221</v>
      </c>
      <c r="F41" s="9" t="s">
        <v>290</v>
      </c>
      <c r="G41" s="9" t="s">
        <v>105</v>
      </c>
      <c r="H41" s="9" t="s">
        <v>337</v>
      </c>
      <c r="I41" s="9" t="s">
        <v>338</v>
      </c>
      <c r="J41" s="9" t="s">
        <v>339</v>
      </c>
      <c r="K41" s="9">
        <v>8.2111645929E10</v>
      </c>
      <c r="L41" s="5" t="s">
        <v>28</v>
      </c>
      <c r="M41" s="9" t="s">
        <v>340</v>
      </c>
      <c r="N41" s="9">
        <v>2.5872017E7</v>
      </c>
    </row>
    <row r="42" ht="15.75" customHeight="1">
      <c r="A42" s="9">
        <v>2.5872018E7</v>
      </c>
      <c r="B42" s="9" t="s">
        <v>341</v>
      </c>
      <c r="C42" s="9" t="s">
        <v>342</v>
      </c>
      <c r="D42" s="9" t="s">
        <v>41</v>
      </c>
      <c r="E42" s="9" t="s">
        <v>221</v>
      </c>
      <c r="F42" s="9" t="s">
        <v>290</v>
      </c>
      <c r="G42" s="9" t="s">
        <v>105</v>
      </c>
      <c r="H42" s="15">
        <v>44882.0</v>
      </c>
      <c r="I42" s="9" t="s">
        <v>343</v>
      </c>
      <c r="J42" s="9" t="s">
        <v>344</v>
      </c>
      <c r="K42" s="9">
        <v>8.1235809992E10</v>
      </c>
      <c r="L42" s="5" t="s">
        <v>28</v>
      </c>
      <c r="M42" s="9" t="s">
        <v>345</v>
      </c>
      <c r="N42" s="9">
        <v>2.5872018E7</v>
      </c>
    </row>
    <row r="43" ht="15.75" customHeight="1">
      <c r="A43" s="9">
        <v>2.6872028E7</v>
      </c>
      <c r="B43" s="9" t="s">
        <v>346</v>
      </c>
      <c r="C43" s="9" t="s">
        <v>347</v>
      </c>
      <c r="D43" s="9" t="s">
        <v>76</v>
      </c>
      <c r="E43" s="9" t="s">
        <v>221</v>
      </c>
      <c r="F43" s="9" t="s">
        <v>290</v>
      </c>
      <c r="G43" s="9" t="s">
        <v>44</v>
      </c>
      <c r="H43" s="12">
        <v>45140.0</v>
      </c>
      <c r="I43" s="9" t="s">
        <v>349</v>
      </c>
      <c r="J43" s="9" t="s">
        <v>350</v>
      </c>
      <c r="K43" s="9">
        <v>8.2142352265E10</v>
      </c>
      <c r="L43" s="5" t="s">
        <v>28</v>
      </c>
      <c r="M43" s="9" t="s">
        <v>353</v>
      </c>
      <c r="N43" s="9">
        <v>2.6872028E7</v>
      </c>
    </row>
    <row r="44" ht="15.75" customHeight="1">
      <c r="A44" s="9">
        <v>2.587203E7</v>
      </c>
      <c r="B44" s="9" t="s">
        <v>357</v>
      </c>
      <c r="C44" s="9" t="s">
        <v>359</v>
      </c>
      <c r="D44" s="9" t="s">
        <v>76</v>
      </c>
      <c r="E44" s="9" t="s">
        <v>221</v>
      </c>
      <c r="F44" s="9" t="s">
        <v>290</v>
      </c>
      <c r="G44" s="9" t="s">
        <v>44</v>
      </c>
      <c r="H44" s="9" t="s">
        <v>364</v>
      </c>
      <c r="I44" s="9" t="s">
        <v>365</v>
      </c>
      <c r="J44" s="9" t="s">
        <v>366</v>
      </c>
      <c r="K44" s="9">
        <v>8.213229208E10</v>
      </c>
      <c r="L44" s="5" t="s">
        <v>28</v>
      </c>
      <c r="M44" s="9" t="s">
        <v>368</v>
      </c>
      <c r="N44" s="9">
        <v>2.587203E7</v>
      </c>
    </row>
    <row r="45" ht="15.75" customHeight="1">
      <c r="A45" s="9">
        <v>2.5872034E7</v>
      </c>
      <c r="B45" s="9" t="s">
        <v>371</v>
      </c>
      <c r="C45" s="9" t="s">
        <v>373</v>
      </c>
      <c r="D45" s="9" t="s">
        <v>41</v>
      </c>
      <c r="E45" s="9" t="s">
        <v>221</v>
      </c>
      <c r="F45" s="9" t="s">
        <v>375</v>
      </c>
      <c r="G45" s="9" t="s">
        <v>127</v>
      </c>
      <c r="H45" s="9" t="s">
        <v>377</v>
      </c>
      <c r="I45" s="9" t="s">
        <v>378</v>
      </c>
      <c r="J45" s="9" t="s">
        <v>379</v>
      </c>
      <c r="K45" s="9">
        <v>8.1232262667E10</v>
      </c>
      <c r="L45" s="5" t="s">
        <v>28</v>
      </c>
      <c r="M45" s="9" t="s">
        <v>380</v>
      </c>
      <c r="N45" s="9">
        <v>2.5872034E7</v>
      </c>
    </row>
    <row r="46" ht="15.75" customHeight="1">
      <c r="A46" s="9">
        <v>2.6872005E7</v>
      </c>
      <c r="B46" s="9" t="s">
        <v>381</v>
      </c>
      <c r="C46" s="9" t="s">
        <v>382</v>
      </c>
      <c r="D46" s="9" t="s">
        <v>76</v>
      </c>
      <c r="E46" s="9" t="s">
        <v>221</v>
      </c>
      <c r="F46" s="9" t="s">
        <v>375</v>
      </c>
      <c r="G46" s="9" t="s">
        <v>105</v>
      </c>
      <c r="H46" s="9" t="s">
        <v>383</v>
      </c>
      <c r="I46" s="9" t="s">
        <v>384</v>
      </c>
      <c r="J46" s="9" t="s">
        <v>385</v>
      </c>
      <c r="K46" s="9">
        <v>8.21396161E10</v>
      </c>
      <c r="L46" s="5" t="s">
        <v>28</v>
      </c>
      <c r="M46" s="9" t="s">
        <v>386</v>
      </c>
      <c r="N46" s="9">
        <v>2.6872005E7</v>
      </c>
    </row>
    <row r="47" ht="15.75" customHeight="1">
      <c r="A47" s="9">
        <v>2.6872011E7</v>
      </c>
      <c r="B47" s="9" t="s">
        <v>387</v>
      </c>
      <c r="C47" s="9" t="s">
        <v>388</v>
      </c>
      <c r="D47" s="9" t="s">
        <v>76</v>
      </c>
      <c r="E47" s="9" t="s">
        <v>221</v>
      </c>
      <c r="F47" s="9" t="s">
        <v>375</v>
      </c>
      <c r="G47" s="9" t="s">
        <v>44</v>
      </c>
      <c r="H47" s="9" t="s">
        <v>389</v>
      </c>
      <c r="I47" s="9" t="s">
        <v>390</v>
      </c>
      <c r="J47" s="9" t="s">
        <v>391</v>
      </c>
      <c r="K47" s="9">
        <v>8.2231983094E10</v>
      </c>
      <c r="L47" s="5" t="s">
        <v>28</v>
      </c>
      <c r="M47" s="9" t="s">
        <v>392</v>
      </c>
      <c r="N47" s="9">
        <v>2.6872011E7</v>
      </c>
    </row>
    <row r="48" ht="15.75" customHeight="1">
      <c r="A48" s="9">
        <v>2.6872003E7</v>
      </c>
      <c r="B48" s="9" t="s">
        <v>393</v>
      </c>
      <c r="C48" s="9" t="s">
        <v>394</v>
      </c>
      <c r="D48" s="9" t="s">
        <v>41</v>
      </c>
      <c r="E48" s="9" t="s">
        <v>221</v>
      </c>
      <c r="F48" s="9" t="s">
        <v>375</v>
      </c>
      <c r="G48" s="9" t="s">
        <v>105</v>
      </c>
      <c r="H48" s="12">
        <v>45113.0</v>
      </c>
      <c r="I48" s="9" t="s">
        <v>402</v>
      </c>
      <c r="J48" s="9" t="s">
        <v>404</v>
      </c>
      <c r="K48" s="9">
        <v>8.2119197199E10</v>
      </c>
      <c r="L48" s="5" t="s">
        <v>28</v>
      </c>
      <c r="M48" s="9" t="s">
        <v>408</v>
      </c>
      <c r="N48" s="9">
        <v>2.6872003E7</v>
      </c>
    </row>
    <row r="49" ht="15.75" customHeight="1">
      <c r="A49" s="9">
        <v>2.5872009E7</v>
      </c>
      <c r="B49" s="9" t="s">
        <v>409</v>
      </c>
      <c r="C49" s="9" t="s">
        <v>412</v>
      </c>
      <c r="D49" s="9" t="s">
        <v>76</v>
      </c>
      <c r="E49" s="9" t="s">
        <v>221</v>
      </c>
      <c r="F49" s="9" t="s">
        <v>375</v>
      </c>
      <c r="G49" s="9" t="s">
        <v>105</v>
      </c>
      <c r="H49" s="9" t="s">
        <v>418</v>
      </c>
      <c r="I49" s="9" t="s">
        <v>419</v>
      </c>
      <c r="J49" s="9" t="s">
        <v>421</v>
      </c>
      <c r="K49" s="9">
        <v>8.5254858185E10</v>
      </c>
      <c r="L49" s="5" t="s">
        <v>28</v>
      </c>
      <c r="M49" s="9" t="s">
        <v>424</v>
      </c>
      <c r="N49" s="9">
        <v>2.5872009E7</v>
      </c>
    </row>
    <row r="50" ht="15.75" customHeight="1">
      <c r="A50" s="9">
        <v>2.6872013E7</v>
      </c>
      <c r="B50" s="9" t="s">
        <v>427</v>
      </c>
      <c r="C50" s="9" t="s">
        <v>429</v>
      </c>
      <c r="D50" s="9" t="s">
        <v>41</v>
      </c>
      <c r="E50" s="9" t="s">
        <v>221</v>
      </c>
      <c r="F50" s="9" t="s">
        <v>375</v>
      </c>
      <c r="G50" s="9" t="s">
        <v>105</v>
      </c>
      <c r="H50" s="12">
        <v>44623.0</v>
      </c>
      <c r="I50" s="9" t="s">
        <v>432</v>
      </c>
      <c r="J50" s="9" t="s">
        <v>434</v>
      </c>
      <c r="K50" s="9">
        <v>8.12497824E10</v>
      </c>
      <c r="L50" s="5" t="s">
        <v>28</v>
      </c>
      <c r="M50" s="9" t="s">
        <v>436</v>
      </c>
      <c r="N50" s="9">
        <v>2.6872013E7</v>
      </c>
    </row>
    <row r="51" ht="15.75" customHeight="1">
      <c r="A51" s="9">
        <v>2.5872011E7</v>
      </c>
      <c r="B51" s="9" t="s">
        <v>438</v>
      </c>
      <c r="C51" s="9" t="s">
        <v>439</v>
      </c>
      <c r="D51" s="9" t="s">
        <v>76</v>
      </c>
      <c r="E51" s="9" t="s">
        <v>221</v>
      </c>
      <c r="F51" s="9" t="s">
        <v>375</v>
      </c>
      <c r="G51" s="9" t="s">
        <v>44</v>
      </c>
      <c r="H51" s="9" t="s">
        <v>443</v>
      </c>
      <c r="I51" s="9" t="s">
        <v>444</v>
      </c>
      <c r="J51" s="9" t="s">
        <v>445</v>
      </c>
      <c r="K51" s="9" t="s">
        <v>446</v>
      </c>
      <c r="L51" s="5" t="s">
        <v>28</v>
      </c>
      <c r="M51" s="9" t="s">
        <v>447</v>
      </c>
      <c r="N51" s="9">
        <v>2.5872011E7</v>
      </c>
    </row>
    <row r="52" ht="15.75" customHeight="1">
      <c r="A52" s="9">
        <v>2.687202E7</v>
      </c>
      <c r="B52" s="9" t="s">
        <v>448</v>
      </c>
      <c r="C52" s="9" t="s">
        <v>449</v>
      </c>
      <c r="D52" s="9" t="s">
        <v>41</v>
      </c>
      <c r="E52" s="9" t="s">
        <v>221</v>
      </c>
      <c r="F52" s="9" t="s">
        <v>375</v>
      </c>
      <c r="G52" s="9" t="s">
        <v>44</v>
      </c>
      <c r="H52" s="9" t="s">
        <v>450</v>
      </c>
      <c r="I52" s="9" t="s">
        <v>211</v>
      </c>
      <c r="J52" s="9" t="s">
        <v>212</v>
      </c>
      <c r="K52" s="9">
        <v>8.2188437398E10</v>
      </c>
      <c r="L52" s="5" t="s">
        <v>28</v>
      </c>
      <c r="M52" s="9" t="s">
        <v>451</v>
      </c>
      <c r="N52" s="9">
        <v>2.687202E7</v>
      </c>
    </row>
    <row r="53" ht="15.75" customHeight="1">
      <c r="A53" s="9">
        <v>2.5872031E7</v>
      </c>
      <c r="B53" s="9" t="s">
        <v>452</v>
      </c>
      <c r="C53" s="9" t="s">
        <v>453</v>
      </c>
      <c r="D53" s="9" t="s">
        <v>41</v>
      </c>
      <c r="E53" s="9" t="s">
        <v>221</v>
      </c>
      <c r="F53" s="9" t="s">
        <v>375</v>
      </c>
      <c r="G53" s="9" t="s">
        <v>44</v>
      </c>
      <c r="H53" s="9" t="s">
        <v>454</v>
      </c>
      <c r="I53" s="9" t="s">
        <v>455</v>
      </c>
      <c r="J53" s="9" t="s">
        <v>456</v>
      </c>
      <c r="K53" s="9">
        <v>8.1230022166E10</v>
      </c>
      <c r="L53" s="5" t="s">
        <v>28</v>
      </c>
      <c r="M53" s="9" t="s">
        <v>457</v>
      </c>
      <c r="N53" s="9">
        <v>2.5872031E7</v>
      </c>
    </row>
    <row r="54" ht="15.75" customHeight="1">
      <c r="A54" s="9">
        <v>2.5872014E7</v>
      </c>
      <c r="B54" s="9" t="s">
        <v>458</v>
      </c>
      <c r="C54" s="9" t="s">
        <v>459</v>
      </c>
      <c r="D54" s="9" t="s">
        <v>41</v>
      </c>
      <c r="E54" s="9" t="s">
        <v>221</v>
      </c>
      <c r="F54" s="9" t="s">
        <v>375</v>
      </c>
      <c r="G54" s="9" t="s">
        <v>44</v>
      </c>
      <c r="H54" s="9" t="s">
        <v>463</v>
      </c>
      <c r="I54" s="9" t="s">
        <v>464</v>
      </c>
      <c r="J54" s="9" t="s">
        <v>465</v>
      </c>
      <c r="K54" s="9">
        <v>8.1332030007E10</v>
      </c>
      <c r="L54" s="5" t="s">
        <v>28</v>
      </c>
      <c r="M54" s="9" t="s">
        <v>467</v>
      </c>
      <c r="N54" s="9">
        <v>2.5872014E7</v>
      </c>
    </row>
    <row r="55" ht="15.75" customHeight="1">
      <c r="A55" s="9">
        <v>2.5872015E7</v>
      </c>
      <c r="B55" s="9" t="s">
        <v>469</v>
      </c>
      <c r="C55" s="9" t="s">
        <v>470</v>
      </c>
      <c r="D55" s="9" t="s">
        <v>76</v>
      </c>
      <c r="E55" s="9" t="s">
        <v>221</v>
      </c>
      <c r="F55" s="9" t="s">
        <v>375</v>
      </c>
      <c r="G55" s="9" t="s">
        <v>471</v>
      </c>
      <c r="H55" s="9" t="s">
        <v>331</v>
      </c>
      <c r="I55" s="9" t="s">
        <v>332</v>
      </c>
      <c r="J55" s="9" t="s">
        <v>333</v>
      </c>
      <c r="K55" s="9">
        <v>8.2252670195E10</v>
      </c>
      <c r="L55" s="5" t="s">
        <v>28</v>
      </c>
      <c r="M55" s="9" t="s">
        <v>474</v>
      </c>
      <c r="N55" s="9">
        <v>2.5872015E7</v>
      </c>
    </row>
    <row r="56" ht="15.75" customHeight="1">
      <c r="A56" s="9">
        <v>2.6872026E7</v>
      </c>
      <c r="B56" s="9" t="s">
        <v>475</v>
      </c>
      <c r="C56" s="9" t="s">
        <v>476</v>
      </c>
      <c r="D56" s="9" t="s">
        <v>41</v>
      </c>
      <c r="E56" s="9" t="s">
        <v>221</v>
      </c>
      <c r="F56" s="9" t="s">
        <v>375</v>
      </c>
      <c r="G56" s="9" t="s">
        <v>105</v>
      </c>
      <c r="H56" s="12">
        <v>44689.0</v>
      </c>
      <c r="I56" s="9" t="s">
        <v>477</v>
      </c>
      <c r="J56" s="9" t="s">
        <v>478</v>
      </c>
      <c r="K56" s="9">
        <v>8.5648475715E10</v>
      </c>
      <c r="L56" s="5" t="s">
        <v>28</v>
      </c>
      <c r="M56" s="9" t="s">
        <v>479</v>
      </c>
      <c r="N56" s="9">
        <v>2.6872026E7</v>
      </c>
    </row>
    <row r="57" ht="15.75" customHeight="1">
      <c r="A57" s="9">
        <v>2.6871001E7</v>
      </c>
      <c r="B57" s="9" t="s">
        <v>480</v>
      </c>
      <c r="C57" s="9" t="s">
        <v>481</v>
      </c>
      <c r="D57" s="9" t="s">
        <v>41</v>
      </c>
      <c r="E57" s="9" t="s">
        <v>483</v>
      </c>
      <c r="F57" s="9" t="s">
        <v>17</v>
      </c>
      <c r="G57" s="9" t="s">
        <v>44</v>
      </c>
      <c r="H57" s="12">
        <v>44389.0</v>
      </c>
      <c r="I57" s="9" t="s">
        <v>485</v>
      </c>
      <c r="J57" s="9" t="s">
        <v>486</v>
      </c>
      <c r="K57" s="13">
        <f>+628985634592</f>
        <v>628985634592</v>
      </c>
      <c r="L57" s="5" t="s">
        <v>28</v>
      </c>
      <c r="M57" s="9" t="s">
        <v>490</v>
      </c>
      <c r="N57" s="9">
        <v>2.6871001E7</v>
      </c>
    </row>
    <row r="58" ht="15.75" customHeight="1">
      <c r="A58" s="9">
        <v>2.6871002E7</v>
      </c>
      <c r="B58" s="9" t="s">
        <v>491</v>
      </c>
      <c r="C58" s="9" t="s">
        <v>492</v>
      </c>
      <c r="D58" s="9" t="s">
        <v>41</v>
      </c>
      <c r="E58" s="9" t="s">
        <v>483</v>
      </c>
      <c r="F58" s="9" t="s">
        <v>17</v>
      </c>
      <c r="G58" s="9" t="s">
        <v>44</v>
      </c>
      <c r="H58" s="9" t="s">
        <v>493</v>
      </c>
      <c r="I58" s="9" t="s">
        <v>494</v>
      </c>
      <c r="J58" s="9" t="s">
        <v>495</v>
      </c>
      <c r="K58" s="9">
        <v>8.123454746E9</v>
      </c>
      <c r="L58" s="5" t="s">
        <v>28</v>
      </c>
      <c r="M58" s="9" t="s">
        <v>496</v>
      </c>
      <c r="N58" s="9">
        <v>2.6871002E7</v>
      </c>
    </row>
    <row r="59" ht="15.75" customHeight="1">
      <c r="A59" s="9">
        <v>2.6871006E7</v>
      </c>
      <c r="B59" s="9" t="s">
        <v>497</v>
      </c>
      <c r="C59" s="9" t="s">
        <v>498</v>
      </c>
      <c r="D59" s="9" t="s">
        <v>76</v>
      </c>
      <c r="E59" s="9" t="s">
        <v>483</v>
      </c>
      <c r="F59" s="9" t="s">
        <v>17</v>
      </c>
      <c r="G59" s="9" t="s">
        <v>105</v>
      </c>
      <c r="H59" s="9" t="s">
        <v>499</v>
      </c>
      <c r="I59" s="9" t="s">
        <v>500</v>
      </c>
      <c r="J59" s="9" t="s">
        <v>501</v>
      </c>
      <c r="K59" s="9">
        <v>8.1252606562E10</v>
      </c>
      <c r="L59" s="5" t="s">
        <v>28</v>
      </c>
      <c r="M59" s="9" t="s">
        <v>502</v>
      </c>
      <c r="N59" s="9">
        <v>2.6871006E7</v>
      </c>
    </row>
    <row r="60" ht="15.75" customHeight="1">
      <c r="A60" s="9">
        <v>2.6871008E7</v>
      </c>
      <c r="B60" s="9" t="s">
        <v>503</v>
      </c>
      <c r="C60" s="9" t="s">
        <v>504</v>
      </c>
      <c r="D60" s="9" t="s">
        <v>76</v>
      </c>
      <c r="E60" s="9" t="s">
        <v>483</v>
      </c>
      <c r="F60" s="9" t="s">
        <v>17</v>
      </c>
      <c r="G60" s="9" t="s">
        <v>507</v>
      </c>
      <c r="H60" s="12">
        <v>44623.0</v>
      </c>
      <c r="I60" s="9" t="s">
        <v>508</v>
      </c>
      <c r="J60" s="9" t="s">
        <v>509</v>
      </c>
      <c r="K60" s="9">
        <v>8.95630988436E11</v>
      </c>
      <c r="L60" s="5" t="s">
        <v>28</v>
      </c>
      <c r="M60" s="9" t="s">
        <v>510</v>
      </c>
      <c r="N60" s="9">
        <v>2.6871008E7</v>
      </c>
    </row>
    <row r="61" ht="15.75" customHeight="1">
      <c r="A61" s="9">
        <v>2.6871009E7</v>
      </c>
      <c r="B61" s="9" t="s">
        <v>512</v>
      </c>
      <c r="C61" s="9" t="s">
        <v>513</v>
      </c>
      <c r="D61" s="9" t="s">
        <v>41</v>
      </c>
      <c r="E61" s="9" t="s">
        <v>483</v>
      </c>
      <c r="F61" s="9" t="s">
        <v>17</v>
      </c>
      <c r="G61" s="9" t="s">
        <v>105</v>
      </c>
      <c r="H61" s="14">
        <v>44545.0</v>
      </c>
      <c r="K61" s="9">
        <v>8.5108356789E10</v>
      </c>
      <c r="L61" s="5" t="s">
        <v>28</v>
      </c>
      <c r="N61" s="9">
        <v>2.6871009E7</v>
      </c>
    </row>
    <row r="62" ht="15.75" customHeight="1">
      <c r="A62" s="9">
        <v>2.6871015E7</v>
      </c>
      <c r="B62" s="9" t="s">
        <v>516</v>
      </c>
      <c r="C62" s="9" t="s">
        <v>517</v>
      </c>
      <c r="D62" s="9" t="s">
        <v>76</v>
      </c>
      <c r="E62" s="9" t="s">
        <v>483</v>
      </c>
      <c r="F62" s="9" t="s">
        <v>17</v>
      </c>
      <c r="G62" s="9" t="s">
        <v>44</v>
      </c>
      <c r="H62" s="9" t="s">
        <v>520</v>
      </c>
      <c r="I62" s="9" t="s">
        <v>120</v>
      </c>
      <c r="J62" s="9" t="s">
        <v>121</v>
      </c>
      <c r="K62" s="9">
        <v>8.1235425417E10</v>
      </c>
      <c r="L62" s="5" t="s">
        <v>28</v>
      </c>
      <c r="M62" s="9" t="s">
        <v>521</v>
      </c>
      <c r="N62" s="9">
        <v>2.6871015E7</v>
      </c>
    </row>
    <row r="63" ht="15.75" customHeight="1">
      <c r="A63" s="9">
        <v>2.6871019E7</v>
      </c>
      <c r="B63" s="9" t="s">
        <v>524</v>
      </c>
      <c r="C63" s="9" t="s">
        <v>525</v>
      </c>
      <c r="D63" s="9" t="s">
        <v>76</v>
      </c>
      <c r="E63" s="9" t="s">
        <v>483</v>
      </c>
      <c r="F63" s="9" t="s">
        <v>17</v>
      </c>
      <c r="G63" s="9" t="s">
        <v>105</v>
      </c>
      <c r="H63" s="9" t="s">
        <v>527</v>
      </c>
      <c r="I63" s="9" t="s">
        <v>528</v>
      </c>
      <c r="J63" s="9" t="s">
        <v>529</v>
      </c>
      <c r="K63" s="9">
        <v>8.1330717011E10</v>
      </c>
      <c r="L63" s="5" t="s">
        <v>28</v>
      </c>
      <c r="M63" s="9" t="s">
        <v>530</v>
      </c>
      <c r="N63" s="9">
        <v>2.6871019E7</v>
      </c>
    </row>
    <row r="64" ht="15.75" customHeight="1">
      <c r="A64" s="9">
        <v>2.6871022E7</v>
      </c>
      <c r="B64" s="9" t="s">
        <v>532</v>
      </c>
      <c r="C64" s="9" t="s">
        <v>533</v>
      </c>
      <c r="D64" s="9" t="s">
        <v>41</v>
      </c>
      <c r="E64" s="9" t="s">
        <v>483</v>
      </c>
      <c r="F64" s="9" t="s">
        <v>17</v>
      </c>
      <c r="G64" s="9" t="s">
        <v>44</v>
      </c>
      <c r="H64" s="9" t="s">
        <v>534</v>
      </c>
      <c r="I64" s="9" t="s">
        <v>535</v>
      </c>
      <c r="J64" s="9" t="s">
        <v>536</v>
      </c>
      <c r="K64" s="9">
        <v>8.1252641571E10</v>
      </c>
      <c r="L64" s="5" t="s">
        <v>28</v>
      </c>
      <c r="M64" s="9" t="s">
        <v>537</v>
      </c>
      <c r="N64" s="9">
        <v>2.6871022E7</v>
      </c>
    </row>
    <row r="65" ht="15.75" customHeight="1">
      <c r="A65" s="9">
        <v>2.6871046E7</v>
      </c>
      <c r="B65" s="9" t="s">
        <v>538</v>
      </c>
      <c r="C65" s="9" t="s">
        <v>539</v>
      </c>
      <c r="D65" s="9" t="s">
        <v>41</v>
      </c>
      <c r="E65" s="9" t="s">
        <v>483</v>
      </c>
      <c r="F65" s="9" t="s">
        <v>17</v>
      </c>
      <c r="G65" s="9" t="s">
        <v>540</v>
      </c>
      <c r="H65" s="9" t="s">
        <v>541</v>
      </c>
      <c r="I65" s="9" t="s">
        <v>542</v>
      </c>
      <c r="J65" s="9" t="s">
        <v>543</v>
      </c>
      <c r="K65" s="9">
        <v>8.56081947E10</v>
      </c>
      <c r="L65" s="5" t="s">
        <v>28</v>
      </c>
      <c r="M65" s="9" t="s">
        <v>544</v>
      </c>
      <c r="N65" s="9">
        <v>2.6871046E7</v>
      </c>
    </row>
    <row r="66" ht="15.75" customHeight="1">
      <c r="A66" s="9">
        <v>2.6871023E7</v>
      </c>
      <c r="B66" s="9" t="s">
        <v>545</v>
      </c>
      <c r="C66" s="9" t="s">
        <v>546</v>
      </c>
      <c r="D66" s="9" t="s">
        <v>76</v>
      </c>
      <c r="E66" s="9" t="s">
        <v>483</v>
      </c>
      <c r="F66" s="9" t="s">
        <v>17</v>
      </c>
      <c r="G66" s="9" t="s">
        <v>547</v>
      </c>
      <c r="H66" s="12">
        <v>43953.0</v>
      </c>
      <c r="I66" s="9" t="s">
        <v>548</v>
      </c>
      <c r="J66" s="9" t="s">
        <v>549</v>
      </c>
      <c r="K66" s="9">
        <v>8.12513216E10</v>
      </c>
      <c r="L66" s="5" t="s">
        <v>28</v>
      </c>
      <c r="M66" s="9" t="s">
        <v>550</v>
      </c>
      <c r="N66" s="9">
        <v>2.6871023E7</v>
      </c>
    </row>
    <row r="67" ht="15.75" customHeight="1">
      <c r="A67" s="9">
        <v>2.687104E7</v>
      </c>
      <c r="B67" s="9" t="s">
        <v>551</v>
      </c>
      <c r="C67" s="9" t="s">
        <v>552</v>
      </c>
      <c r="D67" s="9" t="s">
        <v>76</v>
      </c>
      <c r="E67" s="9" t="s">
        <v>483</v>
      </c>
      <c r="F67" s="9" t="s">
        <v>17</v>
      </c>
      <c r="G67" s="9" t="s">
        <v>44</v>
      </c>
      <c r="H67" s="12">
        <v>44562.0</v>
      </c>
      <c r="I67" s="9" t="s">
        <v>553</v>
      </c>
      <c r="J67" s="9" t="s">
        <v>554</v>
      </c>
      <c r="K67" s="9">
        <v>8.1230744798E10</v>
      </c>
      <c r="L67" s="5" t="s">
        <v>28</v>
      </c>
      <c r="M67" s="9" t="s">
        <v>555</v>
      </c>
      <c r="N67" s="9">
        <v>2.687104E7</v>
      </c>
    </row>
    <row r="68" ht="15.75" customHeight="1">
      <c r="A68" s="9">
        <v>2.6871005E7</v>
      </c>
      <c r="B68" s="9" t="s">
        <v>556</v>
      </c>
      <c r="C68" s="9" t="s">
        <v>557</v>
      </c>
      <c r="D68" s="9" t="s">
        <v>41</v>
      </c>
      <c r="E68" s="9" t="s">
        <v>483</v>
      </c>
      <c r="F68" s="9" t="s">
        <v>45</v>
      </c>
      <c r="G68" s="9" t="s">
        <v>105</v>
      </c>
      <c r="H68" s="9" t="s">
        <v>559</v>
      </c>
      <c r="I68" s="9" t="s">
        <v>560</v>
      </c>
      <c r="J68" s="9" t="s">
        <v>562</v>
      </c>
      <c r="K68" s="9">
        <v>8.118676363E9</v>
      </c>
      <c r="L68" s="5" t="s">
        <v>28</v>
      </c>
      <c r="M68" s="9" t="s">
        <v>563</v>
      </c>
      <c r="N68" s="9">
        <v>2.6871005E7</v>
      </c>
    </row>
    <row r="69" ht="15.75" customHeight="1">
      <c r="A69" s="9">
        <v>2.6871013E7</v>
      </c>
      <c r="B69" s="9" t="s">
        <v>564</v>
      </c>
      <c r="C69" s="9" t="s">
        <v>565</v>
      </c>
      <c r="D69" s="9" t="s">
        <v>41</v>
      </c>
      <c r="E69" s="9" t="s">
        <v>483</v>
      </c>
      <c r="F69" s="9" t="s">
        <v>45</v>
      </c>
      <c r="G69" s="9" t="s">
        <v>44</v>
      </c>
      <c r="H69" s="12">
        <v>44381.0</v>
      </c>
      <c r="I69" s="9" t="s">
        <v>566</v>
      </c>
      <c r="J69" s="9" t="s">
        <v>567</v>
      </c>
      <c r="K69" s="9">
        <v>8.1335839249E10</v>
      </c>
      <c r="L69" s="5" t="s">
        <v>28</v>
      </c>
      <c r="M69" s="9" t="s">
        <v>568</v>
      </c>
      <c r="N69" s="9">
        <v>2.6871013E7</v>
      </c>
    </row>
    <row r="70" ht="15.75" customHeight="1">
      <c r="A70" s="9">
        <v>2.6871014E7</v>
      </c>
      <c r="B70" s="9" t="s">
        <v>569</v>
      </c>
      <c r="C70" s="9" t="s">
        <v>570</v>
      </c>
      <c r="D70" s="9" t="s">
        <v>76</v>
      </c>
      <c r="E70" s="9" t="s">
        <v>483</v>
      </c>
      <c r="F70" s="9" t="s">
        <v>45</v>
      </c>
      <c r="G70" s="9" t="s">
        <v>105</v>
      </c>
      <c r="H70" s="12">
        <v>44324.0</v>
      </c>
      <c r="I70" s="9" t="s">
        <v>571</v>
      </c>
      <c r="J70" s="9" t="s">
        <v>572</v>
      </c>
      <c r="K70" s="9">
        <v>8.2229659343E10</v>
      </c>
      <c r="L70" s="5" t="s">
        <v>28</v>
      </c>
      <c r="M70" s="9" t="s">
        <v>573</v>
      </c>
      <c r="N70" s="9">
        <v>2.6871014E7</v>
      </c>
    </row>
    <row r="71" ht="15.75" customHeight="1">
      <c r="A71" s="9">
        <v>2.6871017E7</v>
      </c>
      <c r="B71" s="9" t="s">
        <v>574</v>
      </c>
      <c r="C71" s="9" t="s">
        <v>575</v>
      </c>
      <c r="D71" s="9" t="s">
        <v>76</v>
      </c>
      <c r="E71" s="9" t="s">
        <v>483</v>
      </c>
      <c r="F71" s="9" t="s">
        <v>45</v>
      </c>
      <c r="G71" s="9" t="s">
        <v>44</v>
      </c>
      <c r="H71" s="9" t="s">
        <v>576</v>
      </c>
      <c r="I71" s="9" t="s">
        <v>577</v>
      </c>
      <c r="J71" s="9" t="s">
        <v>578</v>
      </c>
      <c r="K71" s="9">
        <v>8.2131848231E10</v>
      </c>
      <c r="L71" s="5" t="s">
        <v>28</v>
      </c>
      <c r="M71" s="9" t="s">
        <v>579</v>
      </c>
      <c r="N71" s="9">
        <v>2.6871017E7</v>
      </c>
    </row>
    <row r="72" ht="15.75" customHeight="1">
      <c r="A72" s="9">
        <v>2.687102E7</v>
      </c>
      <c r="B72" s="9" t="s">
        <v>580</v>
      </c>
      <c r="C72" s="9" t="s">
        <v>581</v>
      </c>
      <c r="D72" s="9" t="s">
        <v>41</v>
      </c>
      <c r="E72" s="9" t="s">
        <v>483</v>
      </c>
      <c r="F72" s="9" t="s">
        <v>45</v>
      </c>
      <c r="G72" s="9" t="s">
        <v>105</v>
      </c>
      <c r="H72" s="9" t="s">
        <v>582</v>
      </c>
      <c r="I72" s="9" t="s">
        <v>583</v>
      </c>
      <c r="J72" s="9" t="s">
        <v>584</v>
      </c>
      <c r="K72" s="9">
        <v>8.133088584E9</v>
      </c>
      <c r="L72" s="5" t="s">
        <v>28</v>
      </c>
      <c r="M72" s="9" t="s">
        <v>585</v>
      </c>
      <c r="N72" s="9">
        <v>2.687102E7</v>
      </c>
    </row>
    <row r="73" ht="15.75" customHeight="1">
      <c r="A73" s="9">
        <v>2.6871021E7</v>
      </c>
      <c r="B73" s="9" t="s">
        <v>586</v>
      </c>
      <c r="C73" s="9" t="s">
        <v>587</v>
      </c>
      <c r="D73" s="9" t="s">
        <v>76</v>
      </c>
      <c r="E73" s="9" t="s">
        <v>483</v>
      </c>
      <c r="F73" s="9" t="s">
        <v>45</v>
      </c>
      <c r="G73" s="9" t="s">
        <v>105</v>
      </c>
      <c r="H73" s="12">
        <v>44385.0</v>
      </c>
      <c r="I73" s="9" t="s">
        <v>588</v>
      </c>
      <c r="J73" s="9" t="s">
        <v>589</v>
      </c>
      <c r="K73" s="9">
        <v>8.123578753E10</v>
      </c>
      <c r="L73" s="5" t="s">
        <v>28</v>
      </c>
      <c r="M73" s="9" t="s">
        <v>590</v>
      </c>
      <c r="N73" s="9">
        <v>2.6871021E7</v>
      </c>
    </row>
    <row r="74" ht="15.75" customHeight="1">
      <c r="A74" s="9">
        <v>2.6871031E7</v>
      </c>
      <c r="B74" s="9" t="s">
        <v>591</v>
      </c>
      <c r="C74" s="9" t="s">
        <v>592</v>
      </c>
      <c r="D74" s="9" t="s">
        <v>76</v>
      </c>
      <c r="E74" s="9" t="s">
        <v>483</v>
      </c>
      <c r="F74" s="9" t="s">
        <v>45</v>
      </c>
      <c r="G74" s="9" t="s">
        <v>593</v>
      </c>
      <c r="H74" s="9" t="s">
        <v>594</v>
      </c>
      <c r="I74" s="9" t="s">
        <v>595</v>
      </c>
      <c r="J74" s="9" t="s">
        <v>596</v>
      </c>
      <c r="K74" s="9">
        <v>8.1357621055E10</v>
      </c>
      <c r="L74" s="5" t="s">
        <v>28</v>
      </c>
      <c r="M74" s="9" t="s">
        <v>597</v>
      </c>
      <c r="N74" s="9">
        <v>2.6871031E7</v>
      </c>
    </row>
    <row r="75" ht="15.75" customHeight="1">
      <c r="A75" s="9">
        <v>2.6871033E7</v>
      </c>
      <c r="B75" s="9" t="s">
        <v>598</v>
      </c>
      <c r="C75" s="9" t="s">
        <v>599</v>
      </c>
      <c r="D75" s="9" t="s">
        <v>76</v>
      </c>
      <c r="E75" s="9" t="s">
        <v>483</v>
      </c>
      <c r="F75" s="9" t="s">
        <v>45</v>
      </c>
      <c r="G75" s="9" t="s">
        <v>44</v>
      </c>
      <c r="H75" s="9" t="s">
        <v>600</v>
      </c>
      <c r="I75" s="9" t="s">
        <v>601</v>
      </c>
      <c r="J75" s="9" t="s">
        <v>602</v>
      </c>
      <c r="K75" s="9">
        <v>8.125920598E10</v>
      </c>
      <c r="L75" s="5" t="s">
        <v>28</v>
      </c>
      <c r="M75" s="9" t="s">
        <v>603</v>
      </c>
      <c r="N75" s="9">
        <v>2.6871033E7</v>
      </c>
    </row>
    <row r="76" ht="15.75" customHeight="1">
      <c r="A76" s="9">
        <v>2.6871049E7</v>
      </c>
      <c r="B76" s="9" t="s">
        <v>604</v>
      </c>
      <c r="C76" s="9" t="s">
        <v>605</v>
      </c>
      <c r="D76" s="9" t="s">
        <v>41</v>
      </c>
      <c r="E76" s="9" t="s">
        <v>483</v>
      </c>
      <c r="F76" s="9" t="s">
        <v>45</v>
      </c>
      <c r="G76" s="9" t="s">
        <v>606</v>
      </c>
      <c r="H76" s="9" t="s">
        <v>607</v>
      </c>
      <c r="I76" s="9" t="s">
        <v>608</v>
      </c>
      <c r="J76" s="9" t="s">
        <v>609</v>
      </c>
      <c r="K76" s="9">
        <v>8.22459804E10</v>
      </c>
      <c r="L76" s="5" t="s">
        <v>28</v>
      </c>
      <c r="M76" s="9" t="s">
        <v>610</v>
      </c>
      <c r="N76" s="9">
        <v>2.6871049E7</v>
      </c>
    </row>
    <row r="77" ht="15.75" customHeight="1">
      <c r="A77" s="9">
        <v>2.6871038E7</v>
      </c>
      <c r="B77" s="9" t="s">
        <v>611</v>
      </c>
      <c r="C77" s="9" t="s">
        <v>612</v>
      </c>
      <c r="D77" s="9" t="s">
        <v>41</v>
      </c>
      <c r="E77" s="9" t="s">
        <v>483</v>
      </c>
      <c r="F77" s="9" t="s">
        <v>45</v>
      </c>
      <c r="G77" s="9" t="s">
        <v>44</v>
      </c>
      <c r="H77" s="9" t="s">
        <v>613</v>
      </c>
      <c r="I77" s="9" t="s">
        <v>614</v>
      </c>
      <c r="J77" s="9" t="s">
        <v>615</v>
      </c>
      <c r="K77" s="9">
        <v>8.1235440891E10</v>
      </c>
      <c r="L77" s="5" t="s">
        <v>28</v>
      </c>
      <c r="M77" s="9" t="s">
        <v>616</v>
      </c>
      <c r="N77" s="9">
        <v>2.6871038E7</v>
      </c>
    </row>
    <row r="78" ht="15.75" customHeight="1">
      <c r="A78" s="9">
        <v>2.6871039E7</v>
      </c>
      <c r="B78" s="9" t="s">
        <v>617</v>
      </c>
      <c r="C78" s="9" t="s">
        <v>618</v>
      </c>
      <c r="D78" s="9" t="s">
        <v>76</v>
      </c>
      <c r="E78" s="9" t="s">
        <v>483</v>
      </c>
      <c r="F78" s="9" t="s">
        <v>45</v>
      </c>
      <c r="G78" s="9" t="s">
        <v>619</v>
      </c>
      <c r="H78" s="9" t="s">
        <v>620</v>
      </c>
      <c r="I78" s="9" t="s">
        <v>128</v>
      </c>
      <c r="J78" s="9" t="s">
        <v>130</v>
      </c>
      <c r="K78" s="9" t="e">
        <v>#ERROR!</v>
      </c>
      <c r="L78" s="5" t="s">
        <v>28</v>
      </c>
      <c r="M78" s="9" t="s">
        <v>621</v>
      </c>
      <c r="N78" s="9">
        <v>2.6871039E7</v>
      </c>
    </row>
    <row r="79" ht="15.75" customHeight="1">
      <c r="A79" s="9">
        <v>2.6871044E7</v>
      </c>
      <c r="B79" s="9" t="s">
        <v>622</v>
      </c>
      <c r="C79" s="9" t="s">
        <v>623</v>
      </c>
      <c r="D79" s="9" t="s">
        <v>41</v>
      </c>
      <c r="E79" s="9" t="s">
        <v>483</v>
      </c>
      <c r="F79" s="9" t="s">
        <v>45</v>
      </c>
      <c r="G79" s="9" t="s">
        <v>44</v>
      </c>
      <c r="H79" s="12">
        <v>44871.0</v>
      </c>
      <c r="I79" s="9" t="s">
        <v>624</v>
      </c>
      <c r="J79" s="9" t="s">
        <v>625</v>
      </c>
      <c r="K79" s="9">
        <v>8.2233447043E10</v>
      </c>
      <c r="L79" s="5" t="s">
        <v>28</v>
      </c>
      <c r="M79" s="9" t="s">
        <v>626</v>
      </c>
      <c r="N79" s="9">
        <v>2.6871044E7</v>
      </c>
    </row>
    <row r="80" ht="15.75" customHeight="1">
      <c r="A80" s="9">
        <v>2.6871007E7</v>
      </c>
      <c r="B80" s="9" t="s">
        <v>627</v>
      </c>
      <c r="C80" s="9" t="s">
        <v>628</v>
      </c>
      <c r="D80" s="9" t="s">
        <v>41</v>
      </c>
      <c r="E80" s="9" t="s">
        <v>483</v>
      </c>
      <c r="F80" s="9" t="s">
        <v>629</v>
      </c>
      <c r="G80" s="9" t="s">
        <v>105</v>
      </c>
      <c r="H80" s="9" t="s">
        <v>582</v>
      </c>
      <c r="I80" s="9" t="s">
        <v>583</v>
      </c>
      <c r="J80" s="9" t="s">
        <v>584</v>
      </c>
      <c r="K80" s="9">
        <v>8.1333088584E10</v>
      </c>
      <c r="L80" s="5" t="s">
        <v>28</v>
      </c>
      <c r="M80" s="9" t="s">
        <v>585</v>
      </c>
      <c r="N80" s="9">
        <v>2.6871007E7</v>
      </c>
    </row>
    <row r="81" ht="15.75" customHeight="1">
      <c r="A81" s="9">
        <v>2.687101E7</v>
      </c>
      <c r="B81" s="9" t="s">
        <v>630</v>
      </c>
      <c r="C81" s="9" t="s">
        <v>631</v>
      </c>
      <c r="D81" s="9" t="s">
        <v>76</v>
      </c>
      <c r="E81" s="9" t="s">
        <v>483</v>
      </c>
      <c r="F81" s="9" t="s">
        <v>629</v>
      </c>
      <c r="G81" s="9" t="s">
        <v>632</v>
      </c>
      <c r="H81" s="9" t="s">
        <v>633</v>
      </c>
      <c r="I81" s="9" t="s">
        <v>634</v>
      </c>
      <c r="J81" s="9" t="s">
        <v>635</v>
      </c>
      <c r="K81" s="9">
        <v>8.133349892E10</v>
      </c>
      <c r="L81" s="5" t="s">
        <v>28</v>
      </c>
      <c r="M81" s="9" t="s">
        <v>636</v>
      </c>
      <c r="N81" s="9">
        <v>2.687101E7</v>
      </c>
    </row>
    <row r="82" ht="15.75" customHeight="1">
      <c r="A82" s="9">
        <v>2.6871012E7</v>
      </c>
      <c r="B82" s="9" t="s">
        <v>637</v>
      </c>
      <c r="C82" s="9" t="s">
        <v>638</v>
      </c>
      <c r="D82" s="9" t="s">
        <v>41</v>
      </c>
      <c r="E82" s="9" t="s">
        <v>483</v>
      </c>
      <c r="F82" s="9" t="s">
        <v>629</v>
      </c>
      <c r="G82" s="9" t="s">
        <v>105</v>
      </c>
      <c r="H82" s="12">
        <v>44808.0</v>
      </c>
      <c r="I82" s="9" t="s">
        <v>639</v>
      </c>
      <c r="J82" s="9" t="s">
        <v>640</v>
      </c>
      <c r="K82" s="9">
        <v>8.2132666913E10</v>
      </c>
      <c r="L82" s="5" t="s">
        <v>28</v>
      </c>
      <c r="M82" s="9" t="s">
        <v>641</v>
      </c>
      <c r="N82" s="9">
        <v>2.6871012E7</v>
      </c>
    </row>
    <row r="83" ht="15.75" customHeight="1">
      <c r="A83" s="9">
        <v>2.6871047E7</v>
      </c>
      <c r="B83" s="9" t="s">
        <v>642</v>
      </c>
      <c r="C83" s="9" t="s">
        <v>232</v>
      </c>
      <c r="D83" s="9" t="s">
        <v>76</v>
      </c>
      <c r="E83" s="9" t="s">
        <v>483</v>
      </c>
      <c r="F83" s="9" t="s">
        <v>629</v>
      </c>
      <c r="G83" s="9" t="s">
        <v>330</v>
      </c>
      <c r="H83" s="12">
        <v>44384.0</v>
      </c>
      <c r="I83" s="9" t="s">
        <v>643</v>
      </c>
      <c r="J83" s="9" t="s">
        <v>644</v>
      </c>
      <c r="K83" s="9">
        <v>8.1348881532E10</v>
      </c>
      <c r="L83" s="5" t="s">
        <v>28</v>
      </c>
      <c r="M83" s="9" t="s">
        <v>645</v>
      </c>
      <c r="N83" s="9">
        <v>2.6871047E7</v>
      </c>
    </row>
    <row r="84" ht="15.75" customHeight="1">
      <c r="A84" s="9">
        <v>2.6871018E7</v>
      </c>
      <c r="B84" s="9" t="s">
        <v>646</v>
      </c>
      <c r="C84" s="9" t="s">
        <v>647</v>
      </c>
      <c r="D84" s="9" t="s">
        <v>41</v>
      </c>
      <c r="E84" s="9" t="s">
        <v>483</v>
      </c>
      <c r="F84" s="9" t="s">
        <v>629</v>
      </c>
      <c r="G84" s="9" t="s">
        <v>44</v>
      </c>
      <c r="H84" s="12">
        <v>44563.0</v>
      </c>
      <c r="I84" s="9" t="s">
        <v>80</v>
      </c>
      <c r="J84" s="9" t="s">
        <v>82</v>
      </c>
      <c r="K84" s="9">
        <v>8.1617468559E10</v>
      </c>
      <c r="L84" s="5" t="s">
        <v>28</v>
      </c>
      <c r="M84" s="9" t="s">
        <v>648</v>
      </c>
      <c r="N84" s="9">
        <v>2.6871018E7</v>
      </c>
    </row>
    <row r="85" ht="15.75" customHeight="1">
      <c r="A85" s="9">
        <v>2.6871024E7</v>
      </c>
      <c r="B85" s="9" t="s">
        <v>649</v>
      </c>
      <c r="C85" s="9" t="s">
        <v>650</v>
      </c>
      <c r="D85" s="9" t="s">
        <v>76</v>
      </c>
      <c r="E85" s="9" t="s">
        <v>483</v>
      </c>
      <c r="F85" s="9" t="s">
        <v>629</v>
      </c>
      <c r="G85" s="9" t="s">
        <v>651</v>
      </c>
      <c r="H85" s="12">
        <v>44536.0</v>
      </c>
      <c r="I85" s="9" t="s">
        <v>548</v>
      </c>
      <c r="J85" s="9" t="s">
        <v>549</v>
      </c>
      <c r="K85" s="9">
        <v>8.12513216E10</v>
      </c>
      <c r="L85" s="5" t="s">
        <v>28</v>
      </c>
      <c r="M85" s="9" t="s">
        <v>652</v>
      </c>
      <c r="N85" s="9">
        <v>2.6871024E7</v>
      </c>
    </row>
    <row r="86" ht="15.75" customHeight="1">
      <c r="A86" s="9">
        <v>2.6871025E7</v>
      </c>
      <c r="B86" s="9" t="s">
        <v>653</v>
      </c>
      <c r="C86" s="9" t="s">
        <v>654</v>
      </c>
      <c r="D86" s="9" t="s">
        <v>41</v>
      </c>
      <c r="E86" s="9" t="s">
        <v>483</v>
      </c>
      <c r="F86" s="9" t="s">
        <v>629</v>
      </c>
      <c r="G86" s="9" t="s">
        <v>105</v>
      </c>
      <c r="H86" s="9" t="s">
        <v>655</v>
      </c>
      <c r="I86" s="9" t="s">
        <v>656</v>
      </c>
      <c r="J86" s="9" t="s">
        <v>657</v>
      </c>
      <c r="K86" s="9">
        <v>8.775475409E10</v>
      </c>
      <c r="L86" s="5" t="s">
        <v>28</v>
      </c>
      <c r="M86" s="9" t="s">
        <v>658</v>
      </c>
      <c r="N86" s="9">
        <v>2.6871025E7</v>
      </c>
    </row>
    <row r="87" ht="15.75" customHeight="1">
      <c r="A87" s="9">
        <v>2.687105E7</v>
      </c>
      <c r="B87" s="9" t="s">
        <v>659</v>
      </c>
      <c r="C87" s="9" t="s">
        <v>660</v>
      </c>
      <c r="D87" s="9" t="s">
        <v>41</v>
      </c>
      <c r="E87" s="9" t="s">
        <v>483</v>
      </c>
      <c r="F87" s="9" t="s">
        <v>629</v>
      </c>
      <c r="L87" s="5" t="s">
        <v>28</v>
      </c>
      <c r="N87" s="9">
        <v>2.687105E7</v>
      </c>
    </row>
    <row r="88" ht="15.75" customHeight="1">
      <c r="A88" s="9">
        <v>2.687103E7</v>
      </c>
      <c r="B88" s="9" t="s">
        <v>661</v>
      </c>
      <c r="C88" s="9" t="s">
        <v>662</v>
      </c>
      <c r="D88" s="9" t="s">
        <v>76</v>
      </c>
      <c r="E88" s="9" t="s">
        <v>483</v>
      </c>
      <c r="F88" s="9" t="s">
        <v>629</v>
      </c>
      <c r="G88" s="9" t="s">
        <v>663</v>
      </c>
      <c r="H88" s="9" t="s">
        <v>664</v>
      </c>
      <c r="I88" s="9" t="s">
        <v>665</v>
      </c>
      <c r="J88" s="9" t="s">
        <v>666</v>
      </c>
      <c r="K88" s="9">
        <v>8.2233331403E10</v>
      </c>
      <c r="L88" s="5" t="s">
        <v>28</v>
      </c>
      <c r="M88" s="9" t="s">
        <v>667</v>
      </c>
      <c r="N88" s="9">
        <v>2.687103E7</v>
      </c>
    </row>
    <row r="89" ht="15.75" customHeight="1">
      <c r="A89" s="9">
        <v>2.6871034E7</v>
      </c>
      <c r="B89" s="9" t="s">
        <v>668</v>
      </c>
      <c r="C89" s="9" t="s">
        <v>669</v>
      </c>
      <c r="D89" s="9" t="s">
        <v>41</v>
      </c>
      <c r="E89" s="9" t="s">
        <v>483</v>
      </c>
      <c r="F89" s="9" t="s">
        <v>629</v>
      </c>
      <c r="G89" s="9" t="s">
        <v>44</v>
      </c>
      <c r="H89" s="9" t="s">
        <v>670</v>
      </c>
      <c r="I89" s="9" t="s">
        <v>671</v>
      </c>
      <c r="J89" s="9" t="s">
        <v>672</v>
      </c>
      <c r="K89" s="9">
        <v>8.2132223314E10</v>
      </c>
      <c r="L89" s="5" t="s">
        <v>28</v>
      </c>
      <c r="M89" s="9" t="s">
        <v>673</v>
      </c>
      <c r="N89" s="9">
        <v>2.6871034E7</v>
      </c>
    </row>
    <row r="90" ht="15.75" customHeight="1">
      <c r="A90" s="9">
        <v>2.6871036E7</v>
      </c>
      <c r="B90" s="9" t="s">
        <v>674</v>
      </c>
      <c r="C90" s="9" t="s">
        <v>675</v>
      </c>
      <c r="D90" s="9" t="s">
        <v>41</v>
      </c>
      <c r="E90" s="9" t="s">
        <v>483</v>
      </c>
      <c r="F90" s="9" t="s">
        <v>629</v>
      </c>
      <c r="G90" s="9" t="s">
        <v>44</v>
      </c>
      <c r="H90" s="12">
        <v>44809.0</v>
      </c>
      <c r="I90" s="9" t="s">
        <v>676</v>
      </c>
      <c r="J90" s="9" t="s">
        <v>677</v>
      </c>
      <c r="K90" s="9">
        <v>8.213912308E10</v>
      </c>
      <c r="L90" s="5" t="s">
        <v>28</v>
      </c>
      <c r="M90" s="9" t="s">
        <v>678</v>
      </c>
      <c r="N90" s="9">
        <v>2.6871036E7</v>
      </c>
    </row>
    <row r="91" ht="15.75" customHeight="1">
      <c r="A91" s="9">
        <v>2.6871037E7</v>
      </c>
      <c r="B91" s="9" t="s">
        <v>679</v>
      </c>
      <c r="C91" s="9" t="s">
        <v>680</v>
      </c>
      <c r="D91" s="9" t="s">
        <v>41</v>
      </c>
      <c r="E91" s="9" t="s">
        <v>483</v>
      </c>
      <c r="F91" s="9" t="s">
        <v>629</v>
      </c>
      <c r="G91" s="9" t="s">
        <v>315</v>
      </c>
      <c r="H91" s="12">
        <v>44358.0</v>
      </c>
      <c r="I91" s="9" t="s">
        <v>681</v>
      </c>
      <c r="J91" s="9" t="s">
        <v>682</v>
      </c>
      <c r="K91" s="9">
        <v>8.170314566E10</v>
      </c>
      <c r="L91" s="5" t="s">
        <v>28</v>
      </c>
      <c r="M91" s="9" t="s">
        <v>683</v>
      </c>
      <c r="N91" s="9">
        <v>2.6871037E7</v>
      </c>
    </row>
    <row r="92" ht="15.75" customHeight="1">
      <c r="A92" s="9">
        <v>2.6871042E7</v>
      </c>
      <c r="B92" s="9" t="s">
        <v>684</v>
      </c>
      <c r="C92" s="9" t="s">
        <v>685</v>
      </c>
      <c r="D92" s="9" t="s">
        <v>76</v>
      </c>
      <c r="E92" s="9" t="s">
        <v>483</v>
      </c>
      <c r="F92" s="9" t="s">
        <v>629</v>
      </c>
      <c r="G92" s="9" t="s">
        <v>44</v>
      </c>
      <c r="H92" s="9" t="s">
        <v>686</v>
      </c>
      <c r="I92" s="9" t="s">
        <v>687</v>
      </c>
      <c r="J92" s="9" t="s">
        <v>688</v>
      </c>
      <c r="K92" s="9">
        <v>8.12359469E10</v>
      </c>
      <c r="L92" s="5" t="s">
        <v>28</v>
      </c>
      <c r="M92" s="9" t="s">
        <v>689</v>
      </c>
      <c r="N92" s="9">
        <v>2.6871042E7</v>
      </c>
    </row>
    <row r="93" ht="15.75" customHeight="1">
      <c r="A93" s="9">
        <v>2.6871003E7</v>
      </c>
      <c r="B93" s="9" t="s">
        <v>690</v>
      </c>
      <c r="C93" s="9" t="s">
        <v>691</v>
      </c>
      <c r="D93" s="9" t="s">
        <v>41</v>
      </c>
      <c r="E93" s="9" t="s">
        <v>483</v>
      </c>
      <c r="F93" s="9" t="s">
        <v>692</v>
      </c>
      <c r="G93" s="9" t="s">
        <v>165</v>
      </c>
      <c r="H93" s="9" t="s">
        <v>693</v>
      </c>
      <c r="I93" s="9" t="s">
        <v>694</v>
      </c>
      <c r="J93" s="9" t="s">
        <v>695</v>
      </c>
      <c r="K93" s="9">
        <v>8.1217474614E10</v>
      </c>
      <c r="L93" s="5" t="s">
        <v>28</v>
      </c>
      <c r="M93" s="9" t="s">
        <v>696</v>
      </c>
      <c r="N93" s="9">
        <v>2.6871003E7</v>
      </c>
    </row>
    <row r="94" ht="15.75" customHeight="1">
      <c r="A94" s="9">
        <v>2.6871004E7</v>
      </c>
      <c r="B94" s="9" t="s">
        <v>697</v>
      </c>
      <c r="C94" s="9" t="s">
        <v>698</v>
      </c>
      <c r="D94" s="9" t="s">
        <v>41</v>
      </c>
      <c r="E94" s="9" t="s">
        <v>483</v>
      </c>
      <c r="F94" s="9" t="s">
        <v>692</v>
      </c>
      <c r="G94" s="9" t="s">
        <v>44</v>
      </c>
      <c r="H94" s="14">
        <v>44647.0</v>
      </c>
      <c r="K94" s="9">
        <v>8.5257787836E10</v>
      </c>
      <c r="L94" s="5" t="s">
        <v>28</v>
      </c>
      <c r="N94" s="9">
        <v>2.6871004E7</v>
      </c>
    </row>
    <row r="95" ht="15.75" customHeight="1">
      <c r="A95" s="9">
        <v>2.6871011E7</v>
      </c>
      <c r="B95" s="9" t="s">
        <v>699</v>
      </c>
      <c r="C95" s="9" t="s">
        <v>700</v>
      </c>
      <c r="D95" s="9" t="s">
        <v>41</v>
      </c>
      <c r="E95" s="9" t="s">
        <v>483</v>
      </c>
      <c r="F95" s="9" t="s">
        <v>692</v>
      </c>
      <c r="G95" s="9" t="s">
        <v>105</v>
      </c>
      <c r="H95" s="12">
        <v>44509.0</v>
      </c>
      <c r="I95" s="9" t="s">
        <v>701</v>
      </c>
      <c r="J95" s="9" t="s">
        <v>702</v>
      </c>
      <c r="K95" s="9">
        <v>8.1331756434E10</v>
      </c>
      <c r="L95" s="5" t="s">
        <v>28</v>
      </c>
      <c r="M95" s="9" t="s">
        <v>703</v>
      </c>
      <c r="N95" s="9">
        <v>2.6871011E7</v>
      </c>
    </row>
    <row r="96" ht="15.75" customHeight="1">
      <c r="A96" s="9">
        <v>2.6871016E7</v>
      </c>
      <c r="B96" s="9" t="s">
        <v>704</v>
      </c>
      <c r="C96" s="9" t="s">
        <v>705</v>
      </c>
      <c r="D96" s="9" t="s">
        <v>76</v>
      </c>
      <c r="E96" s="9" t="s">
        <v>483</v>
      </c>
      <c r="F96" s="9" t="s">
        <v>692</v>
      </c>
      <c r="G96" s="9" t="s">
        <v>44</v>
      </c>
      <c r="H96" s="14">
        <v>44471.0</v>
      </c>
      <c r="K96" s="9">
        <v>8.5649528166E10</v>
      </c>
      <c r="L96" s="5" t="s">
        <v>28</v>
      </c>
      <c r="N96" s="9">
        <v>2.6871016E7</v>
      </c>
    </row>
    <row r="97" ht="15.75" customHeight="1">
      <c r="A97" s="9">
        <v>2.6871026E7</v>
      </c>
      <c r="B97" s="9" t="s">
        <v>706</v>
      </c>
      <c r="C97" s="9" t="s">
        <v>707</v>
      </c>
      <c r="D97" s="9" t="s">
        <v>76</v>
      </c>
      <c r="E97" s="9" t="s">
        <v>483</v>
      </c>
      <c r="F97" s="9" t="s">
        <v>692</v>
      </c>
      <c r="G97" s="9" t="s">
        <v>105</v>
      </c>
      <c r="H97" s="9" t="s">
        <v>708</v>
      </c>
      <c r="I97" s="9" t="s">
        <v>709</v>
      </c>
      <c r="J97" s="9" t="s">
        <v>710</v>
      </c>
      <c r="K97" s="9">
        <v>8.1333362618E10</v>
      </c>
      <c r="L97" s="5" t="s">
        <v>28</v>
      </c>
      <c r="M97" s="9" t="s">
        <v>711</v>
      </c>
      <c r="N97" s="9">
        <v>2.6871026E7</v>
      </c>
    </row>
    <row r="98" ht="15.75" customHeight="1">
      <c r="A98" s="9">
        <v>2.6871027E7</v>
      </c>
      <c r="B98" s="9" t="s">
        <v>712</v>
      </c>
      <c r="C98" s="9" t="s">
        <v>713</v>
      </c>
      <c r="D98" s="9" t="s">
        <v>41</v>
      </c>
      <c r="E98" s="9" t="s">
        <v>483</v>
      </c>
      <c r="F98" s="9" t="s">
        <v>692</v>
      </c>
      <c r="G98" s="9" t="s">
        <v>44</v>
      </c>
      <c r="H98" s="9" t="s">
        <v>714</v>
      </c>
      <c r="I98" s="9" t="s">
        <v>715</v>
      </c>
      <c r="J98" s="9" t="s">
        <v>716</v>
      </c>
      <c r="K98" s="9">
        <v>8.1249760076E10</v>
      </c>
      <c r="L98" s="5" t="s">
        <v>28</v>
      </c>
      <c r="M98" s="9" t="s">
        <v>717</v>
      </c>
      <c r="N98" s="9">
        <v>2.6871027E7</v>
      </c>
    </row>
    <row r="99" ht="15.75" customHeight="1">
      <c r="A99" s="9">
        <v>2.6871028E7</v>
      </c>
      <c r="B99" s="9" t="s">
        <v>718</v>
      </c>
      <c r="C99" s="9" t="s">
        <v>719</v>
      </c>
      <c r="D99" s="9" t="s">
        <v>41</v>
      </c>
      <c r="E99" s="9" t="s">
        <v>483</v>
      </c>
      <c r="F99" s="9" t="s">
        <v>692</v>
      </c>
      <c r="G99" s="9" t="s">
        <v>720</v>
      </c>
      <c r="H99" s="9" t="s">
        <v>721</v>
      </c>
      <c r="I99" s="9" t="s">
        <v>722</v>
      </c>
      <c r="J99" s="9" t="s">
        <v>723</v>
      </c>
      <c r="K99" s="9">
        <v>8.5257838883E10</v>
      </c>
      <c r="L99" s="5" t="s">
        <v>28</v>
      </c>
      <c r="M99" s="9" t="s">
        <v>724</v>
      </c>
      <c r="N99" s="9">
        <v>2.6871028E7</v>
      </c>
    </row>
    <row r="100" ht="15.75" customHeight="1">
      <c r="A100" s="9">
        <v>2.6871032E7</v>
      </c>
      <c r="B100" s="9" t="s">
        <v>725</v>
      </c>
      <c r="C100" s="9" t="s">
        <v>726</v>
      </c>
      <c r="D100" s="9" t="s">
        <v>76</v>
      </c>
      <c r="E100" s="9" t="s">
        <v>483</v>
      </c>
      <c r="F100" s="9" t="s">
        <v>692</v>
      </c>
      <c r="G100" s="9" t="s">
        <v>44</v>
      </c>
      <c r="H100" s="9" t="s">
        <v>727</v>
      </c>
      <c r="I100" s="9" t="s">
        <v>728</v>
      </c>
      <c r="J100" s="9" t="s">
        <v>729</v>
      </c>
      <c r="K100" s="9">
        <v>8.22255082E10</v>
      </c>
      <c r="L100" s="5" t="s">
        <v>28</v>
      </c>
      <c r="M100" s="9" t="s">
        <v>730</v>
      </c>
      <c r="N100" s="9">
        <v>2.6871032E7</v>
      </c>
    </row>
    <row r="101" ht="15.75" customHeight="1">
      <c r="A101" s="9">
        <v>2.6871035E7</v>
      </c>
      <c r="B101" s="9" t="s">
        <v>731</v>
      </c>
      <c r="C101" s="9" t="s">
        <v>732</v>
      </c>
      <c r="D101" s="9" t="s">
        <v>41</v>
      </c>
      <c r="E101" s="9" t="s">
        <v>483</v>
      </c>
      <c r="F101" s="9" t="s">
        <v>692</v>
      </c>
      <c r="G101" s="9" t="s">
        <v>44</v>
      </c>
      <c r="H101" s="12">
        <v>44442.0</v>
      </c>
      <c r="I101" s="9" t="s">
        <v>733</v>
      </c>
      <c r="J101" s="9" t="s">
        <v>734</v>
      </c>
      <c r="K101" s="9">
        <v>8.2333845963E10</v>
      </c>
      <c r="L101" s="5" t="s">
        <v>28</v>
      </c>
      <c r="M101" s="9" t="s">
        <v>735</v>
      </c>
      <c r="N101" s="9">
        <v>2.6871035E7</v>
      </c>
    </row>
    <row r="102" ht="15.75" customHeight="1">
      <c r="A102" s="9">
        <v>2.6871041E7</v>
      </c>
      <c r="B102" s="9" t="s">
        <v>736</v>
      </c>
      <c r="C102" s="9" t="s">
        <v>737</v>
      </c>
      <c r="D102" s="9" t="s">
        <v>76</v>
      </c>
      <c r="E102" s="9" t="s">
        <v>483</v>
      </c>
      <c r="F102" s="9" t="s">
        <v>692</v>
      </c>
      <c r="G102" s="9" t="s">
        <v>105</v>
      </c>
      <c r="H102" s="9" t="s">
        <v>738</v>
      </c>
      <c r="I102" s="9" t="s">
        <v>739</v>
      </c>
      <c r="J102" s="9" t="s">
        <v>740</v>
      </c>
      <c r="K102" s="9">
        <v>8.5345812749E10</v>
      </c>
      <c r="L102" s="5" t="s">
        <v>28</v>
      </c>
      <c r="M102" s="9" t="s">
        <v>741</v>
      </c>
      <c r="N102" s="9">
        <v>2.6871041E7</v>
      </c>
    </row>
    <row r="103" ht="15.75" customHeight="1">
      <c r="A103" s="9">
        <v>2.6871029E7</v>
      </c>
      <c r="B103" s="9" t="s">
        <v>742</v>
      </c>
      <c r="C103" s="9" t="s">
        <v>743</v>
      </c>
      <c r="D103" s="9" t="s">
        <v>76</v>
      </c>
      <c r="E103" s="9" t="s">
        <v>483</v>
      </c>
      <c r="F103" s="9" t="s">
        <v>692</v>
      </c>
      <c r="G103" s="9" t="s">
        <v>744</v>
      </c>
      <c r="H103" s="9" t="s">
        <v>664</v>
      </c>
      <c r="I103" s="9" t="s">
        <v>745</v>
      </c>
      <c r="J103" s="9" t="s">
        <v>746</v>
      </c>
      <c r="K103" s="9">
        <v>8.5743727043E10</v>
      </c>
      <c r="L103" s="5" t="s">
        <v>28</v>
      </c>
      <c r="M103" s="9" t="s">
        <v>747</v>
      </c>
      <c r="N103" s="9">
        <v>2.6871029E7</v>
      </c>
    </row>
    <row r="104" ht="15.75" customHeight="1">
      <c r="A104" s="9">
        <v>2.6871043E7</v>
      </c>
      <c r="B104" s="9" t="s">
        <v>748</v>
      </c>
      <c r="C104" s="9" t="s">
        <v>749</v>
      </c>
      <c r="D104" s="9" t="s">
        <v>76</v>
      </c>
      <c r="E104" s="9" t="s">
        <v>483</v>
      </c>
      <c r="F104" s="9" t="s">
        <v>692</v>
      </c>
      <c r="G104" s="9" t="s">
        <v>750</v>
      </c>
      <c r="H104" s="9" t="s">
        <v>751</v>
      </c>
      <c r="I104" s="9" t="s">
        <v>752</v>
      </c>
      <c r="J104" s="9" t="s">
        <v>753</v>
      </c>
      <c r="K104" s="9">
        <v>8.2142220005E10</v>
      </c>
      <c r="L104" s="5" t="s">
        <v>28</v>
      </c>
      <c r="M104" s="9" t="s">
        <v>754</v>
      </c>
      <c r="N104" s="9">
        <v>2.6871043E7</v>
      </c>
    </row>
    <row r="105" ht="15.75" customHeight="1">
      <c r="A105" s="9">
        <v>2.5871026E7</v>
      </c>
      <c r="B105" s="9" t="s">
        <v>755</v>
      </c>
      <c r="C105" s="9" t="s">
        <v>756</v>
      </c>
      <c r="D105" s="9" t="s">
        <v>41</v>
      </c>
      <c r="E105" s="9" t="s">
        <v>757</v>
      </c>
      <c r="F105" s="9" t="s">
        <v>758</v>
      </c>
      <c r="G105" s="9" t="s">
        <v>44</v>
      </c>
      <c r="H105" s="9" t="s">
        <v>759</v>
      </c>
      <c r="I105" s="9" t="s">
        <v>250</v>
      </c>
      <c r="J105" s="9" t="s">
        <v>251</v>
      </c>
      <c r="K105" s="9">
        <v>8.1348060303E10</v>
      </c>
      <c r="L105" s="5" t="s">
        <v>28</v>
      </c>
      <c r="M105" s="9" t="s">
        <v>760</v>
      </c>
      <c r="N105" s="9">
        <v>2.5871026E7</v>
      </c>
    </row>
    <row r="106" ht="15.75" customHeight="1">
      <c r="A106" s="9">
        <v>2.5871047E7</v>
      </c>
      <c r="B106" s="9" t="s">
        <v>761</v>
      </c>
      <c r="C106" s="9" t="s">
        <v>762</v>
      </c>
      <c r="D106" s="9" t="s">
        <v>41</v>
      </c>
      <c r="E106" s="9" t="s">
        <v>757</v>
      </c>
      <c r="F106" s="9" t="s">
        <v>758</v>
      </c>
      <c r="G106" s="9" t="s">
        <v>763</v>
      </c>
      <c r="H106" s="19">
        <v>44020.0</v>
      </c>
      <c r="I106" s="9" t="s">
        <v>764</v>
      </c>
      <c r="J106" s="9" t="s">
        <v>765</v>
      </c>
      <c r="K106" s="9">
        <v>8.5257787836E10</v>
      </c>
      <c r="L106" s="5" t="s">
        <v>28</v>
      </c>
      <c r="M106" s="9" t="s">
        <v>766</v>
      </c>
      <c r="N106" s="9">
        <v>2.5871047E7</v>
      </c>
    </row>
    <row r="107" ht="15.75" customHeight="1">
      <c r="A107" s="9">
        <v>2.5871004E7</v>
      </c>
      <c r="B107" s="9" t="s">
        <v>767</v>
      </c>
      <c r="C107" s="9" t="s">
        <v>768</v>
      </c>
      <c r="D107" s="9" t="s">
        <v>41</v>
      </c>
      <c r="E107" s="9" t="s">
        <v>757</v>
      </c>
      <c r="F107" s="9" t="s">
        <v>758</v>
      </c>
      <c r="G107" s="9" t="s">
        <v>769</v>
      </c>
      <c r="H107" s="19">
        <v>44318.0</v>
      </c>
      <c r="I107" s="9" t="s">
        <v>770</v>
      </c>
      <c r="J107" s="9" t="s">
        <v>771</v>
      </c>
      <c r="K107" s="9">
        <v>8.133404028E10</v>
      </c>
      <c r="L107" s="5" t="s">
        <v>28</v>
      </c>
      <c r="M107" s="9" t="s">
        <v>772</v>
      </c>
      <c r="N107" s="9">
        <v>2.5871004E7</v>
      </c>
    </row>
    <row r="108" ht="15.75" customHeight="1">
      <c r="A108" s="9">
        <v>2.5871031E7</v>
      </c>
      <c r="B108" s="9" t="s">
        <v>773</v>
      </c>
      <c r="C108" s="9" t="s">
        <v>774</v>
      </c>
      <c r="D108" s="9" t="s">
        <v>76</v>
      </c>
      <c r="E108" s="9" t="s">
        <v>757</v>
      </c>
      <c r="F108" s="9" t="s">
        <v>758</v>
      </c>
      <c r="G108" s="9" t="s">
        <v>44</v>
      </c>
      <c r="H108" s="19">
        <v>44445.0</v>
      </c>
      <c r="I108" s="9" t="s">
        <v>775</v>
      </c>
      <c r="J108" s="9" t="s">
        <v>776</v>
      </c>
      <c r="K108" s="9">
        <v>8.1333430423E10</v>
      </c>
      <c r="L108" s="5" t="s">
        <v>28</v>
      </c>
      <c r="M108" s="9" t="s">
        <v>777</v>
      </c>
      <c r="N108" s="9">
        <v>2.5871031E7</v>
      </c>
    </row>
    <row r="109" ht="15.75" customHeight="1">
      <c r="A109" s="9">
        <v>2.5871032E7</v>
      </c>
      <c r="B109" s="9" t="s">
        <v>778</v>
      </c>
      <c r="C109" s="9" t="s">
        <v>779</v>
      </c>
      <c r="D109" s="9" t="s">
        <v>41</v>
      </c>
      <c r="E109" s="9" t="s">
        <v>757</v>
      </c>
      <c r="F109" s="9" t="s">
        <v>758</v>
      </c>
      <c r="G109" s="9" t="s">
        <v>780</v>
      </c>
      <c r="H109" s="19">
        <v>44082.0</v>
      </c>
      <c r="I109" s="9" t="s">
        <v>190</v>
      </c>
      <c r="J109" s="9" t="s">
        <v>191</v>
      </c>
      <c r="K109" s="9">
        <v>8.1333660881E10</v>
      </c>
      <c r="L109" s="5" t="s">
        <v>28</v>
      </c>
      <c r="M109" s="9" t="s">
        <v>781</v>
      </c>
      <c r="N109" s="9">
        <v>2.5871032E7</v>
      </c>
    </row>
    <row r="110" ht="15.75" customHeight="1">
      <c r="A110" s="9">
        <v>2.5871009E7</v>
      </c>
      <c r="B110" s="9" t="s">
        <v>782</v>
      </c>
      <c r="C110" s="9" t="s">
        <v>783</v>
      </c>
      <c r="D110" s="9" t="s">
        <v>76</v>
      </c>
      <c r="E110" s="9" t="s">
        <v>757</v>
      </c>
      <c r="F110" s="9" t="s">
        <v>758</v>
      </c>
      <c r="G110" s="9" t="s">
        <v>784</v>
      </c>
      <c r="H110" s="9" t="s">
        <v>785</v>
      </c>
      <c r="I110" s="9" t="s">
        <v>786</v>
      </c>
      <c r="J110" s="9" t="s">
        <v>787</v>
      </c>
      <c r="K110" s="9">
        <v>8.5103301161E10</v>
      </c>
      <c r="L110" s="5" t="s">
        <v>28</v>
      </c>
      <c r="M110" s="9" t="s">
        <v>788</v>
      </c>
      <c r="N110" s="9">
        <v>2.5871009E7</v>
      </c>
    </row>
    <row r="111" ht="15.75" customHeight="1">
      <c r="A111" s="9">
        <v>2.5871007E7</v>
      </c>
      <c r="B111" s="9" t="s">
        <v>789</v>
      </c>
      <c r="C111" s="9" t="s">
        <v>145</v>
      </c>
      <c r="D111" s="9" t="s">
        <v>76</v>
      </c>
      <c r="E111" s="9" t="s">
        <v>757</v>
      </c>
      <c r="F111" s="9" t="s">
        <v>758</v>
      </c>
      <c r="G111" s="9" t="s">
        <v>105</v>
      </c>
      <c r="H111" s="19">
        <v>43562.0</v>
      </c>
      <c r="I111" s="9" t="s">
        <v>790</v>
      </c>
      <c r="J111" s="9" t="s">
        <v>791</v>
      </c>
      <c r="K111" s="9">
        <v>8.2238646263E10</v>
      </c>
      <c r="L111" s="5" t="s">
        <v>28</v>
      </c>
      <c r="M111" s="9" t="s">
        <v>792</v>
      </c>
      <c r="N111" s="9">
        <v>2.5871007E7</v>
      </c>
    </row>
    <row r="112" ht="15.75" customHeight="1">
      <c r="A112" s="9">
        <v>2.5871024E7</v>
      </c>
      <c r="B112" s="9" t="s">
        <v>793</v>
      </c>
      <c r="C112" s="9" t="s">
        <v>794</v>
      </c>
      <c r="D112" s="9" t="s">
        <v>76</v>
      </c>
      <c r="E112" s="9" t="s">
        <v>757</v>
      </c>
      <c r="F112" s="9" t="s">
        <v>758</v>
      </c>
      <c r="G112" s="9" t="s">
        <v>795</v>
      </c>
      <c r="H112" s="9" t="s">
        <v>796</v>
      </c>
      <c r="I112" s="9" t="s">
        <v>274</v>
      </c>
      <c r="J112" s="9" t="s">
        <v>275</v>
      </c>
      <c r="K112" s="9">
        <v>8.1230192591E10</v>
      </c>
      <c r="L112" s="5" t="s">
        <v>28</v>
      </c>
      <c r="M112" s="9" t="s">
        <v>276</v>
      </c>
      <c r="N112" s="9">
        <v>2.5871024E7</v>
      </c>
    </row>
    <row r="113" ht="15.75" customHeight="1">
      <c r="A113" s="9">
        <v>2.5871052E7</v>
      </c>
      <c r="B113" s="9" t="s">
        <v>797</v>
      </c>
      <c r="C113" s="9" t="s">
        <v>798</v>
      </c>
      <c r="D113" s="9" t="s">
        <v>41</v>
      </c>
      <c r="E113" s="9" t="s">
        <v>757</v>
      </c>
      <c r="F113" s="9" t="s">
        <v>758</v>
      </c>
      <c r="G113" s="9" t="s">
        <v>44</v>
      </c>
      <c r="H113" s="19">
        <v>44263.0</v>
      </c>
      <c r="I113" s="9" t="s">
        <v>799</v>
      </c>
      <c r="J113" s="9" t="s">
        <v>800</v>
      </c>
      <c r="K113" s="9">
        <v>8.21396428E10</v>
      </c>
      <c r="L113" s="5" t="s">
        <v>28</v>
      </c>
      <c r="M113" s="9" t="s">
        <v>801</v>
      </c>
      <c r="N113" s="9">
        <v>2.5871052E7</v>
      </c>
    </row>
    <row r="114" ht="15.75" customHeight="1">
      <c r="A114" s="9">
        <v>2.587102E7</v>
      </c>
      <c r="B114" s="9" t="s">
        <v>802</v>
      </c>
      <c r="C114" s="9" t="s">
        <v>803</v>
      </c>
      <c r="D114" s="9" t="s">
        <v>41</v>
      </c>
      <c r="E114" s="9" t="s">
        <v>757</v>
      </c>
      <c r="F114" s="9" t="s">
        <v>758</v>
      </c>
      <c r="G114" s="9" t="s">
        <v>44</v>
      </c>
      <c r="H114" s="9" t="s">
        <v>804</v>
      </c>
      <c r="I114" s="9" t="s">
        <v>805</v>
      </c>
      <c r="J114" s="9" t="s">
        <v>806</v>
      </c>
      <c r="K114" s="9">
        <v>8.2139759345E10</v>
      </c>
      <c r="L114" s="5" t="s">
        <v>28</v>
      </c>
      <c r="M114" s="9" t="s">
        <v>807</v>
      </c>
      <c r="N114" s="9">
        <v>2.587102E7</v>
      </c>
    </row>
    <row r="115" ht="15.75" customHeight="1">
      <c r="A115" s="9">
        <v>2.5871015E7</v>
      </c>
      <c r="B115" s="9" t="s">
        <v>808</v>
      </c>
      <c r="C115" s="9" t="s">
        <v>809</v>
      </c>
      <c r="D115" s="9" t="s">
        <v>41</v>
      </c>
      <c r="E115" s="9" t="s">
        <v>757</v>
      </c>
      <c r="F115" s="9" t="s">
        <v>758</v>
      </c>
      <c r="G115" s="9" t="s">
        <v>105</v>
      </c>
      <c r="H115" s="19">
        <v>44052.0</v>
      </c>
      <c r="I115" s="9" t="s">
        <v>810</v>
      </c>
      <c r="J115" s="9" t="s">
        <v>811</v>
      </c>
      <c r="K115" s="9">
        <v>8.16420394E9</v>
      </c>
      <c r="L115" s="5" t="s">
        <v>28</v>
      </c>
      <c r="M115" s="9" t="s">
        <v>812</v>
      </c>
      <c r="N115" s="9">
        <v>2.5871015E7</v>
      </c>
    </row>
    <row r="116" ht="15.75" customHeight="1">
      <c r="A116" s="9">
        <v>2.5871038E7</v>
      </c>
      <c r="B116" s="9" t="s">
        <v>813</v>
      </c>
      <c r="C116" s="9" t="s">
        <v>814</v>
      </c>
      <c r="D116" s="9" t="s">
        <v>41</v>
      </c>
      <c r="E116" s="9" t="s">
        <v>757</v>
      </c>
      <c r="F116" s="9" t="s">
        <v>758</v>
      </c>
      <c r="G116" s="9" t="s">
        <v>105</v>
      </c>
      <c r="H116" s="19">
        <v>44506.0</v>
      </c>
      <c r="I116" s="9" t="s">
        <v>815</v>
      </c>
      <c r="J116" s="9" t="s">
        <v>816</v>
      </c>
      <c r="K116" s="9">
        <v>8.133318468E10</v>
      </c>
      <c r="L116" s="5" t="s">
        <v>28</v>
      </c>
      <c r="M116" s="9" t="s">
        <v>817</v>
      </c>
      <c r="N116" s="9">
        <v>2.5871038E7</v>
      </c>
    </row>
    <row r="117" ht="15.75" customHeight="1">
      <c r="A117" s="9">
        <v>2.5871045E7</v>
      </c>
      <c r="B117" s="9" t="s">
        <v>818</v>
      </c>
      <c r="C117" s="9" t="s">
        <v>819</v>
      </c>
      <c r="D117" s="9" t="s">
        <v>76</v>
      </c>
      <c r="E117" s="9" t="s">
        <v>757</v>
      </c>
      <c r="F117" s="9" t="s">
        <v>758</v>
      </c>
      <c r="G117" s="9" t="s">
        <v>105</v>
      </c>
      <c r="H117" s="9" t="s">
        <v>820</v>
      </c>
      <c r="I117" s="9" t="s">
        <v>821</v>
      </c>
      <c r="J117" s="9" t="s">
        <v>822</v>
      </c>
      <c r="K117" s="9">
        <v>8.1259668874E10</v>
      </c>
      <c r="L117" s="5" t="s">
        <v>28</v>
      </c>
      <c r="M117" s="9" t="s">
        <v>823</v>
      </c>
      <c r="N117" s="9">
        <v>2.5871045E7</v>
      </c>
    </row>
    <row r="118" ht="15.75" customHeight="1">
      <c r="A118" s="9">
        <v>2.587105E7</v>
      </c>
      <c r="B118" s="9" t="s">
        <v>824</v>
      </c>
      <c r="C118" s="9" t="s">
        <v>825</v>
      </c>
      <c r="D118" s="9" t="s">
        <v>76</v>
      </c>
      <c r="E118" s="9" t="s">
        <v>757</v>
      </c>
      <c r="F118" s="9" t="s">
        <v>758</v>
      </c>
      <c r="G118" s="9" t="s">
        <v>105</v>
      </c>
      <c r="H118" s="9" t="s">
        <v>826</v>
      </c>
      <c r="I118" s="9" t="s">
        <v>827</v>
      </c>
      <c r="J118" s="9" t="s">
        <v>828</v>
      </c>
      <c r="K118" s="9">
        <v>8.1330334553E10</v>
      </c>
      <c r="L118" s="5" t="s">
        <v>28</v>
      </c>
      <c r="M118" s="9" t="s">
        <v>829</v>
      </c>
      <c r="N118" s="9">
        <v>2.587105E7</v>
      </c>
    </row>
    <row r="119" ht="15.75" customHeight="1">
      <c r="A119" s="9">
        <v>2.5871029E7</v>
      </c>
      <c r="B119" s="9" t="s">
        <v>830</v>
      </c>
      <c r="C119" s="9" t="s">
        <v>831</v>
      </c>
      <c r="D119" s="9" t="s">
        <v>76</v>
      </c>
      <c r="E119" s="9" t="s">
        <v>757</v>
      </c>
      <c r="F119" s="9" t="s">
        <v>832</v>
      </c>
      <c r="G119" s="9" t="s">
        <v>105</v>
      </c>
      <c r="H119" s="19">
        <v>44050.0</v>
      </c>
      <c r="I119" s="9" t="s">
        <v>833</v>
      </c>
      <c r="J119" s="9" t="s">
        <v>834</v>
      </c>
      <c r="K119" s="9">
        <v>8.5233805513E10</v>
      </c>
      <c r="L119" s="5" t="s">
        <v>28</v>
      </c>
      <c r="M119" s="9" t="s">
        <v>835</v>
      </c>
      <c r="N119" s="9">
        <v>2.5871029E7</v>
      </c>
    </row>
    <row r="120" ht="15.75" customHeight="1">
      <c r="A120" s="9">
        <v>2.587103E7</v>
      </c>
      <c r="B120" s="9" t="s">
        <v>836</v>
      </c>
      <c r="C120" s="9" t="s">
        <v>837</v>
      </c>
      <c r="D120" s="9" t="s">
        <v>76</v>
      </c>
      <c r="E120" s="9" t="s">
        <v>757</v>
      </c>
      <c r="F120" s="9" t="s">
        <v>832</v>
      </c>
      <c r="G120" s="9" t="s">
        <v>838</v>
      </c>
      <c r="H120" s="9" t="s">
        <v>839</v>
      </c>
      <c r="I120" s="9" t="s">
        <v>840</v>
      </c>
      <c r="J120" s="9" t="s">
        <v>841</v>
      </c>
      <c r="K120" s="9">
        <v>8.2144718229E10</v>
      </c>
      <c r="L120" s="5" t="s">
        <v>28</v>
      </c>
      <c r="M120" s="9" t="s">
        <v>842</v>
      </c>
      <c r="N120" s="9">
        <v>2.587103E7</v>
      </c>
    </row>
    <row r="121" ht="15.75" customHeight="1">
      <c r="A121" s="9">
        <v>2.5871018E7</v>
      </c>
      <c r="B121" s="9" t="s">
        <v>843</v>
      </c>
      <c r="C121" s="9" t="s">
        <v>844</v>
      </c>
      <c r="D121" s="9" t="s">
        <v>41</v>
      </c>
      <c r="E121" s="9" t="s">
        <v>757</v>
      </c>
      <c r="F121" s="9" t="s">
        <v>832</v>
      </c>
      <c r="G121" s="9" t="s">
        <v>44</v>
      </c>
      <c r="H121" s="19">
        <v>44168.0</v>
      </c>
      <c r="I121" s="9" t="s">
        <v>845</v>
      </c>
      <c r="J121" s="9" t="s">
        <v>846</v>
      </c>
      <c r="K121" s="9">
        <v>8.1333445353E10</v>
      </c>
      <c r="L121" s="5" t="s">
        <v>28</v>
      </c>
      <c r="M121" s="9" t="s">
        <v>847</v>
      </c>
      <c r="N121" s="9">
        <v>2.5871018E7</v>
      </c>
    </row>
    <row r="122" ht="15.75" customHeight="1">
      <c r="A122" s="9">
        <v>2.587101E7</v>
      </c>
      <c r="B122" s="9" t="s">
        <v>848</v>
      </c>
      <c r="C122" s="9" t="s">
        <v>849</v>
      </c>
      <c r="D122" s="9" t="s">
        <v>41</v>
      </c>
      <c r="E122" s="9" t="s">
        <v>757</v>
      </c>
      <c r="F122" s="9" t="s">
        <v>832</v>
      </c>
      <c r="G122" s="9" t="s">
        <v>44</v>
      </c>
      <c r="H122" s="9" t="s">
        <v>850</v>
      </c>
      <c r="I122" s="9" t="s">
        <v>851</v>
      </c>
      <c r="J122" s="9" t="s">
        <v>852</v>
      </c>
      <c r="K122" s="9">
        <v>8.5155499619E10</v>
      </c>
      <c r="L122" s="5" t="s">
        <v>28</v>
      </c>
      <c r="M122" s="9" t="s">
        <v>853</v>
      </c>
      <c r="N122" s="9">
        <v>2.587101E7</v>
      </c>
    </row>
    <row r="123" ht="15.75" customHeight="1">
      <c r="A123" s="9">
        <v>2.5871011E7</v>
      </c>
      <c r="B123" s="9" t="s">
        <v>854</v>
      </c>
      <c r="C123" s="9" t="s">
        <v>855</v>
      </c>
      <c r="D123" s="9" t="s">
        <v>76</v>
      </c>
      <c r="E123" s="9" t="s">
        <v>757</v>
      </c>
      <c r="F123" s="9" t="s">
        <v>832</v>
      </c>
      <c r="G123" s="9" t="s">
        <v>105</v>
      </c>
      <c r="H123" s="9" t="s">
        <v>856</v>
      </c>
      <c r="I123" s="9" t="s">
        <v>175</v>
      </c>
      <c r="J123" s="9" t="s">
        <v>176</v>
      </c>
      <c r="K123" s="9">
        <v>8.1805106915E10</v>
      </c>
      <c r="L123" s="5" t="s">
        <v>28</v>
      </c>
      <c r="M123" s="9" t="s">
        <v>857</v>
      </c>
      <c r="N123" s="9">
        <v>2.5871011E7</v>
      </c>
    </row>
    <row r="124" ht="15.75" customHeight="1">
      <c r="A124" s="9">
        <v>2.4871029E7</v>
      </c>
      <c r="B124" s="9" t="s">
        <v>858</v>
      </c>
      <c r="C124" s="9" t="s">
        <v>660</v>
      </c>
      <c r="D124" s="9" t="s">
        <v>41</v>
      </c>
      <c r="E124" s="9" t="s">
        <v>757</v>
      </c>
      <c r="F124" s="9" t="s">
        <v>832</v>
      </c>
      <c r="G124" s="9" t="s">
        <v>105</v>
      </c>
      <c r="H124" s="19">
        <v>43929.0</v>
      </c>
      <c r="I124" s="9" t="s">
        <v>859</v>
      </c>
      <c r="J124" s="9" t="s">
        <v>860</v>
      </c>
      <c r="K124" s="9">
        <v>8.2131338765E10</v>
      </c>
      <c r="L124" s="5" t="s">
        <v>28</v>
      </c>
      <c r="M124" s="9" t="s">
        <v>861</v>
      </c>
      <c r="N124" s="9">
        <v>2.4871029E7</v>
      </c>
    </row>
    <row r="125" ht="15.75" customHeight="1">
      <c r="A125" s="9">
        <v>2.5871046E7</v>
      </c>
      <c r="B125" s="9" t="s">
        <v>862</v>
      </c>
      <c r="C125" s="9" t="s">
        <v>863</v>
      </c>
      <c r="D125" s="9" t="s">
        <v>76</v>
      </c>
      <c r="E125" s="9" t="s">
        <v>757</v>
      </c>
      <c r="F125" s="9" t="s">
        <v>832</v>
      </c>
      <c r="G125" s="9" t="s">
        <v>44</v>
      </c>
      <c r="H125" s="9" t="s">
        <v>864</v>
      </c>
      <c r="I125" s="9" t="s">
        <v>865</v>
      </c>
      <c r="J125" s="9" t="s">
        <v>866</v>
      </c>
      <c r="K125" s="9">
        <v>8.22285059E10</v>
      </c>
      <c r="L125" s="5" t="s">
        <v>28</v>
      </c>
      <c r="M125" s="9" t="s">
        <v>867</v>
      </c>
      <c r="N125" s="9">
        <v>2.5871046E7</v>
      </c>
    </row>
    <row r="126" ht="15.75" customHeight="1">
      <c r="A126" s="9">
        <v>2.5871034E7</v>
      </c>
      <c r="B126" s="9" t="s">
        <v>868</v>
      </c>
      <c r="C126" s="9" t="s">
        <v>869</v>
      </c>
      <c r="D126" s="9" t="s">
        <v>76</v>
      </c>
      <c r="E126" s="9" t="s">
        <v>757</v>
      </c>
      <c r="F126" s="9" t="s">
        <v>832</v>
      </c>
      <c r="G126" s="9" t="s">
        <v>44</v>
      </c>
      <c r="H126" s="9" t="s">
        <v>870</v>
      </c>
      <c r="I126" s="9" t="s">
        <v>871</v>
      </c>
      <c r="J126" s="9" t="s">
        <v>872</v>
      </c>
      <c r="K126" s="9">
        <v>8.5790844777E10</v>
      </c>
      <c r="L126" s="5" t="s">
        <v>28</v>
      </c>
      <c r="M126" s="9" t="s">
        <v>873</v>
      </c>
      <c r="N126" s="9">
        <v>2.5871034E7</v>
      </c>
    </row>
    <row r="127" ht="15.75" customHeight="1">
      <c r="A127" s="9">
        <v>2.5871003E7</v>
      </c>
      <c r="B127" s="9" t="s">
        <v>874</v>
      </c>
      <c r="C127" s="9" t="s">
        <v>875</v>
      </c>
      <c r="D127" s="9" t="s">
        <v>41</v>
      </c>
      <c r="E127" s="9" t="s">
        <v>757</v>
      </c>
      <c r="F127" s="9" t="s">
        <v>832</v>
      </c>
      <c r="G127" s="9" t="s">
        <v>44</v>
      </c>
      <c r="H127" s="9" t="s">
        <v>876</v>
      </c>
      <c r="I127" s="9" t="s">
        <v>877</v>
      </c>
      <c r="J127" s="9" t="s">
        <v>878</v>
      </c>
      <c r="K127" s="9">
        <v>8.1333574385E10</v>
      </c>
      <c r="L127" s="5" t="s">
        <v>28</v>
      </c>
      <c r="M127" s="9" t="s">
        <v>879</v>
      </c>
      <c r="N127" s="9">
        <v>2.5871003E7</v>
      </c>
    </row>
    <row r="128" ht="15.75" customHeight="1">
      <c r="A128" s="9">
        <v>2.5871025E7</v>
      </c>
      <c r="B128" s="9" t="s">
        <v>880</v>
      </c>
      <c r="C128" s="9" t="s">
        <v>881</v>
      </c>
      <c r="D128" s="9" t="s">
        <v>41</v>
      </c>
      <c r="E128" s="9" t="s">
        <v>757</v>
      </c>
      <c r="F128" s="9" t="s">
        <v>832</v>
      </c>
      <c r="G128" s="9" t="s">
        <v>165</v>
      </c>
      <c r="H128" s="19">
        <v>43837.0</v>
      </c>
      <c r="I128" s="9" t="s">
        <v>882</v>
      </c>
      <c r="J128" s="9" t="s">
        <v>883</v>
      </c>
      <c r="K128" s="9">
        <v>8.1233481415E10</v>
      </c>
      <c r="L128" s="5" t="s">
        <v>28</v>
      </c>
      <c r="M128" s="9" t="s">
        <v>884</v>
      </c>
      <c r="N128" s="9">
        <v>2.5871025E7</v>
      </c>
    </row>
    <row r="129" ht="15.75" customHeight="1">
      <c r="A129" s="9">
        <v>2.5871012E7</v>
      </c>
      <c r="B129" s="9" t="s">
        <v>885</v>
      </c>
      <c r="C129" s="9" t="s">
        <v>886</v>
      </c>
      <c r="D129" s="9" t="s">
        <v>41</v>
      </c>
      <c r="E129" s="9" t="s">
        <v>757</v>
      </c>
      <c r="F129" s="9" t="s">
        <v>832</v>
      </c>
      <c r="G129" s="9" t="s">
        <v>315</v>
      </c>
      <c r="H129" s="19">
        <v>44022.0</v>
      </c>
      <c r="I129" s="9" t="s">
        <v>887</v>
      </c>
      <c r="J129" s="9" t="s">
        <v>888</v>
      </c>
      <c r="K129" s="9">
        <v>8.822841507E10</v>
      </c>
      <c r="L129" s="5" t="s">
        <v>28</v>
      </c>
      <c r="M129" s="9" t="s">
        <v>889</v>
      </c>
      <c r="N129" s="9">
        <v>2.5871012E7</v>
      </c>
    </row>
    <row r="130" ht="15.75" customHeight="1">
      <c r="A130" s="9">
        <v>2.5871005E7</v>
      </c>
      <c r="B130" s="9" t="s">
        <v>890</v>
      </c>
      <c r="C130" s="9" t="s">
        <v>891</v>
      </c>
      <c r="D130" s="9" t="s">
        <v>41</v>
      </c>
      <c r="E130" s="9" t="s">
        <v>757</v>
      </c>
      <c r="F130" s="9" t="s">
        <v>832</v>
      </c>
      <c r="G130" s="9" t="s">
        <v>105</v>
      </c>
      <c r="H130" s="9" t="s">
        <v>892</v>
      </c>
      <c r="I130" s="9" t="s">
        <v>893</v>
      </c>
      <c r="J130" s="9" t="s">
        <v>894</v>
      </c>
      <c r="K130" s="9">
        <v>8.575510626E10</v>
      </c>
      <c r="L130" s="5" t="s">
        <v>28</v>
      </c>
      <c r="M130" s="9" t="s">
        <v>895</v>
      </c>
      <c r="N130" s="9">
        <v>2.5871005E7</v>
      </c>
    </row>
    <row r="131" ht="15.75" customHeight="1">
      <c r="A131" s="9">
        <v>2.5871035E7</v>
      </c>
      <c r="B131" s="9" t="s">
        <v>896</v>
      </c>
      <c r="C131" s="9" t="s">
        <v>897</v>
      </c>
      <c r="D131" s="9" t="s">
        <v>41</v>
      </c>
      <c r="E131" s="9" t="s">
        <v>757</v>
      </c>
      <c r="F131" s="9" t="s">
        <v>832</v>
      </c>
      <c r="G131" s="9" t="s">
        <v>44</v>
      </c>
      <c r="H131" s="19">
        <v>44079.0</v>
      </c>
      <c r="I131" s="9" t="s">
        <v>898</v>
      </c>
      <c r="J131" s="9" t="s">
        <v>899</v>
      </c>
      <c r="K131" s="9">
        <v>8.9516220179E10</v>
      </c>
      <c r="L131" s="5" t="s">
        <v>28</v>
      </c>
      <c r="M131" s="9" t="s">
        <v>900</v>
      </c>
      <c r="N131" s="9">
        <v>2.5871035E7</v>
      </c>
    </row>
    <row r="132" ht="15.75" customHeight="1">
      <c r="A132" s="9">
        <v>2.5871042E7</v>
      </c>
      <c r="B132" s="9" t="s">
        <v>901</v>
      </c>
      <c r="C132" s="9" t="s">
        <v>902</v>
      </c>
      <c r="D132" s="9" t="s">
        <v>76</v>
      </c>
      <c r="E132" s="9" t="s">
        <v>757</v>
      </c>
      <c r="F132" s="9" t="s">
        <v>832</v>
      </c>
      <c r="G132" s="9" t="s">
        <v>44</v>
      </c>
      <c r="H132" s="9" t="s">
        <v>903</v>
      </c>
      <c r="I132" s="9" t="s">
        <v>904</v>
      </c>
      <c r="J132" s="9" t="s">
        <v>905</v>
      </c>
      <c r="K132" s="9">
        <v>8.5184008757E10</v>
      </c>
      <c r="L132" s="5" t="s">
        <v>28</v>
      </c>
      <c r="M132" s="9" t="s">
        <v>906</v>
      </c>
      <c r="N132" s="9">
        <v>2.5871042E7</v>
      </c>
    </row>
    <row r="133" ht="15.75" customHeight="1">
      <c r="A133" s="9">
        <v>2.5871027E7</v>
      </c>
      <c r="B133" s="9" t="s">
        <v>907</v>
      </c>
      <c r="C133" s="9" t="s">
        <v>908</v>
      </c>
      <c r="D133" s="9" t="s">
        <v>41</v>
      </c>
      <c r="E133" s="9" t="s">
        <v>757</v>
      </c>
      <c r="F133" s="9" t="s">
        <v>909</v>
      </c>
      <c r="G133" s="9" t="s">
        <v>910</v>
      </c>
      <c r="H133" s="9" t="s">
        <v>911</v>
      </c>
      <c r="I133" s="9" t="s">
        <v>128</v>
      </c>
      <c r="J133" s="9" t="s">
        <v>130</v>
      </c>
      <c r="K133" s="9">
        <v>8.2132988231E10</v>
      </c>
      <c r="L133" s="5" t="s">
        <v>28</v>
      </c>
      <c r="M133" s="9" t="s">
        <v>912</v>
      </c>
      <c r="N133" s="9">
        <v>2.5871027E7</v>
      </c>
    </row>
    <row r="134" ht="15.75" customHeight="1">
      <c r="A134" s="9">
        <v>2.5871023E7</v>
      </c>
      <c r="B134" s="9" t="s">
        <v>913</v>
      </c>
      <c r="C134" s="9" t="s">
        <v>914</v>
      </c>
      <c r="D134" s="9" t="s">
        <v>41</v>
      </c>
      <c r="E134" s="9" t="s">
        <v>757</v>
      </c>
      <c r="F134" s="9" t="s">
        <v>909</v>
      </c>
      <c r="G134" s="9" t="s">
        <v>105</v>
      </c>
      <c r="H134" s="9" t="s">
        <v>915</v>
      </c>
      <c r="I134" s="9" t="s">
        <v>916</v>
      </c>
      <c r="J134" s="9" t="s">
        <v>917</v>
      </c>
      <c r="K134" s="9">
        <v>8.2139824745E10</v>
      </c>
      <c r="L134" s="5" t="s">
        <v>28</v>
      </c>
      <c r="M134" s="9" t="s">
        <v>918</v>
      </c>
      <c r="N134" s="9">
        <v>2.5871023E7</v>
      </c>
    </row>
    <row r="135" ht="15.75" customHeight="1">
      <c r="A135" s="9">
        <v>2.5871016E7</v>
      </c>
      <c r="B135" s="9" t="s">
        <v>919</v>
      </c>
      <c r="C135" s="9" t="s">
        <v>920</v>
      </c>
      <c r="D135" s="9" t="s">
        <v>76</v>
      </c>
      <c r="E135" s="9" t="s">
        <v>757</v>
      </c>
      <c r="F135" s="9" t="s">
        <v>909</v>
      </c>
      <c r="G135" s="9" t="s">
        <v>44</v>
      </c>
      <c r="H135" s="9" t="s">
        <v>921</v>
      </c>
      <c r="I135" s="9" t="s">
        <v>922</v>
      </c>
      <c r="J135" s="9" t="s">
        <v>923</v>
      </c>
      <c r="K135" s="9">
        <v>8.5736077703E10</v>
      </c>
      <c r="L135" s="5" t="s">
        <v>28</v>
      </c>
      <c r="M135" s="9" t="s">
        <v>924</v>
      </c>
      <c r="N135" s="9">
        <v>2.5871016E7</v>
      </c>
    </row>
    <row r="136" ht="15.75" customHeight="1">
      <c r="A136" s="9">
        <v>2.5871013E7</v>
      </c>
      <c r="B136" s="9" t="s">
        <v>925</v>
      </c>
      <c r="C136" s="9" t="s">
        <v>926</v>
      </c>
      <c r="D136" s="9" t="s">
        <v>76</v>
      </c>
      <c r="E136" s="9" t="s">
        <v>757</v>
      </c>
      <c r="F136" s="9" t="s">
        <v>909</v>
      </c>
      <c r="G136" s="9" t="s">
        <v>105</v>
      </c>
      <c r="H136" s="9" t="s">
        <v>927</v>
      </c>
      <c r="I136" s="9" t="s">
        <v>928</v>
      </c>
      <c r="J136" s="9" t="s">
        <v>929</v>
      </c>
      <c r="K136" s="9">
        <v>8.2142530777E10</v>
      </c>
      <c r="L136" s="5" t="s">
        <v>28</v>
      </c>
      <c r="M136" s="9" t="s">
        <v>930</v>
      </c>
      <c r="N136" s="9">
        <v>2.5871013E7</v>
      </c>
    </row>
    <row r="137" ht="15.75" customHeight="1">
      <c r="A137" s="9">
        <v>2.5871008E7</v>
      </c>
      <c r="B137" s="9" t="s">
        <v>931</v>
      </c>
      <c r="C137" s="9" t="s">
        <v>932</v>
      </c>
      <c r="D137" s="9" t="s">
        <v>41</v>
      </c>
      <c r="E137" s="9" t="s">
        <v>757</v>
      </c>
      <c r="F137" s="9" t="s">
        <v>909</v>
      </c>
      <c r="G137" s="9" t="s">
        <v>105</v>
      </c>
      <c r="H137" s="9" t="s">
        <v>933</v>
      </c>
      <c r="I137" s="9" t="s">
        <v>934</v>
      </c>
      <c r="J137" s="9" t="s">
        <v>935</v>
      </c>
      <c r="K137" s="9">
        <v>8.5771179947E10</v>
      </c>
      <c r="L137" s="5" t="s">
        <v>28</v>
      </c>
      <c r="M137" s="9" t="s">
        <v>936</v>
      </c>
      <c r="N137" s="9">
        <v>2.5871008E7</v>
      </c>
    </row>
    <row r="138" ht="15.75" customHeight="1">
      <c r="A138" s="9">
        <v>2.5871043E7</v>
      </c>
      <c r="B138" s="9" t="s">
        <v>937</v>
      </c>
      <c r="C138" s="9" t="s">
        <v>938</v>
      </c>
      <c r="D138" s="9" t="s">
        <v>76</v>
      </c>
      <c r="E138" s="9" t="s">
        <v>757</v>
      </c>
      <c r="F138" s="9" t="s">
        <v>909</v>
      </c>
      <c r="G138" s="9" t="s">
        <v>105</v>
      </c>
      <c r="H138" s="19">
        <v>43871.0</v>
      </c>
      <c r="I138" s="9" t="s">
        <v>939</v>
      </c>
      <c r="J138" s="9" t="s">
        <v>940</v>
      </c>
      <c r="K138" s="9">
        <v>8.123009096E10</v>
      </c>
      <c r="L138" s="5" t="s">
        <v>28</v>
      </c>
      <c r="M138" s="9" t="s">
        <v>941</v>
      </c>
      <c r="N138" s="9">
        <v>2.5871043E7</v>
      </c>
    </row>
    <row r="139" ht="15.75" customHeight="1">
      <c r="A139" s="9">
        <v>2.6871048E7</v>
      </c>
      <c r="B139" s="9" t="s">
        <v>942</v>
      </c>
      <c r="C139" s="9" t="s">
        <v>943</v>
      </c>
      <c r="D139" s="9" t="s">
        <v>76</v>
      </c>
      <c r="E139" s="9" t="s">
        <v>757</v>
      </c>
      <c r="F139" s="9" t="s">
        <v>909</v>
      </c>
      <c r="G139" s="9" t="s">
        <v>944</v>
      </c>
      <c r="H139" s="9" t="s">
        <v>945</v>
      </c>
      <c r="I139" s="9" t="s">
        <v>946</v>
      </c>
      <c r="J139" s="9" t="s">
        <v>947</v>
      </c>
      <c r="K139" s="9">
        <v>8.1232545241E10</v>
      </c>
      <c r="L139" s="5" t="s">
        <v>28</v>
      </c>
      <c r="M139" s="9" t="s">
        <v>948</v>
      </c>
      <c r="N139" s="9">
        <v>2.6871048E7</v>
      </c>
    </row>
    <row r="140" ht="15.75" customHeight="1">
      <c r="A140" s="9">
        <v>2.5871036E7</v>
      </c>
      <c r="B140" s="9" t="s">
        <v>949</v>
      </c>
      <c r="C140" s="9" t="s">
        <v>950</v>
      </c>
      <c r="D140" s="9" t="s">
        <v>41</v>
      </c>
      <c r="E140" s="9" t="s">
        <v>757</v>
      </c>
      <c r="F140" s="9" t="s">
        <v>909</v>
      </c>
      <c r="G140" s="9" t="s">
        <v>951</v>
      </c>
      <c r="H140" s="9" t="s">
        <v>952</v>
      </c>
      <c r="I140" s="9" t="s">
        <v>953</v>
      </c>
      <c r="J140" s="9" t="s">
        <v>954</v>
      </c>
      <c r="K140" s="9">
        <v>8.2325393555E10</v>
      </c>
      <c r="L140" s="5" t="s">
        <v>28</v>
      </c>
      <c r="M140" s="9" t="s">
        <v>955</v>
      </c>
      <c r="N140" s="9">
        <v>2.5871036E7</v>
      </c>
    </row>
    <row r="141" ht="15.75" customHeight="1">
      <c r="A141" s="9">
        <v>2.4871004E7</v>
      </c>
      <c r="B141" s="9" t="s">
        <v>956</v>
      </c>
      <c r="C141" s="9" t="s">
        <v>957</v>
      </c>
      <c r="D141" s="9" t="s">
        <v>41</v>
      </c>
      <c r="E141" s="9" t="s">
        <v>757</v>
      </c>
      <c r="F141" s="9" t="s">
        <v>909</v>
      </c>
      <c r="G141" s="9" t="s">
        <v>44</v>
      </c>
      <c r="H141" s="9" t="s">
        <v>958</v>
      </c>
      <c r="I141" s="9" t="s">
        <v>959</v>
      </c>
      <c r="J141" s="9" t="s">
        <v>960</v>
      </c>
      <c r="K141" s="9">
        <v>8.1217231964E10</v>
      </c>
      <c r="L141" s="5" t="s">
        <v>28</v>
      </c>
      <c r="M141" s="9" t="s">
        <v>961</v>
      </c>
      <c r="N141" s="9">
        <v>2.4871004E7</v>
      </c>
    </row>
    <row r="142" ht="15.75" customHeight="1">
      <c r="A142" s="9">
        <v>2.5871022E7</v>
      </c>
      <c r="B142" s="9" t="s">
        <v>962</v>
      </c>
      <c r="C142" s="9" t="s">
        <v>631</v>
      </c>
      <c r="D142" s="9" t="s">
        <v>76</v>
      </c>
      <c r="E142" s="9" t="s">
        <v>757</v>
      </c>
      <c r="F142" s="9" t="s">
        <v>909</v>
      </c>
      <c r="G142" s="9" t="s">
        <v>963</v>
      </c>
      <c r="H142" s="19">
        <v>44234.0</v>
      </c>
      <c r="I142" s="9" t="s">
        <v>964</v>
      </c>
      <c r="J142" s="9" t="s">
        <v>965</v>
      </c>
      <c r="K142" s="9">
        <v>8.2132677705E10</v>
      </c>
      <c r="L142" s="5" t="s">
        <v>28</v>
      </c>
      <c r="M142" s="9" t="s">
        <v>966</v>
      </c>
      <c r="N142" s="9">
        <v>2.5871022E7</v>
      </c>
    </row>
    <row r="143" ht="15.75" customHeight="1">
      <c r="A143" s="9">
        <v>2.4871001E7</v>
      </c>
      <c r="B143" s="9" t="s">
        <v>967</v>
      </c>
      <c r="C143" s="9" t="s">
        <v>968</v>
      </c>
      <c r="D143" s="9" t="s">
        <v>41</v>
      </c>
      <c r="E143" s="9" t="s">
        <v>757</v>
      </c>
      <c r="F143" s="9" t="s">
        <v>909</v>
      </c>
      <c r="G143" s="9" t="s">
        <v>969</v>
      </c>
      <c r="H143" s="19">
        <v>44112.0</v>
      </c>
      <c r="I143" s="9" t="s">
        <v>970</v>
      </c>
      <c r="J143" s="9" t="s">
        <v>971</v>
      </c>
      <c r="K143" s="9">
        <v>8.115066965E9</v>
      </c>
      <c r="L143" s="5" t="s">
        <v>28</v>
      </c>
      <c r="M143" s="9" t="s">
        <v>972</v>
      </c>
      <c r="N143" s="9">
        <v>2.4871001E7</v>
      </c>
    </row>
    <row r="144" ht="15.75" customHeight="1">
      <c r="A144" s="9">
        <v>2.4871046E7</v>
      </c>
      <c r="B144" s="9" t="s">
        <v>973</v>
      </c>
      <c r="C144" s="9" t="s">
        <v>974</v>
      </c>
      <c r="D144" s="9" t="s">
        <v>41</v>
      </c>
      <c r="E144" s="9" t="s">
        <v>757</v>
      </c>
      <c r="F144" s="9" t="s">
        <v>909</v>
      </c>
      <c r="G144" s="9" t="s">
        <v>44</v>
      </c>
      <c r="H144" s="9" t="s">
        <v>975</v>
      </c>
      <c r="I144" s="9" t="s">
        <v>976</v>
      </c>
      <c r="J144" s="9" t="s">
        <v>977</v>
      </c>
      <c r="K144" s="9">
        <v>8.128006052E10</v>
      </c>
      <c r="L144" s="5" t="s">
        <v>28</v>
      </c>
      <c r="M144" s="9" t="s">
        <v>978</v>
      </c>
      <c r="N144" s="9">
        <v>2.4871046E7</v>
      </c>
    </row>
    <row r="145" ht="15.75" customHeight="1">
      <c r="A145" s="9">
        <v>2.5871039E7</v>
      </c>
      <c r="B145" s="9" t="s">
        <v>979</v>
      </c>
      <c r="C145" s="9" t="s">
        <v>980</v>
      </c>
      <c r="D145" s="9" t="s">
        <v>41</v>
      </c>
      <c r="E145" s="9" t="s">
        <v>757</v>
      </c>
      <c r="F145" s="9" t="s">
        <v>909</v>
      </c>
      <c r="G145" s="9" t="s">
        <v>981</v>
      </c>
      <c r="H145" s="9" t="s">
        <v>982</v>
      </c>
      <c r="I145" s="9" t="s">
        <v>983</v>
      </c>
      <c r="J145" s="9" t="s">
        <v>984</v>
      </c>
      <c r="K145" s="9">
        <v>8.1289917347E10</v>
      </c>
      <c r="L145" s="5" t="s">
        <v>28</v>
      </c>
      <c r="M145" s="9" t="s">
        <v>985</v>
      </c>
      <c r="N145" s="9">
        <v>2.5871039E7</v>
      </c>
    </row>
    <row r="146" ht="15.75" customHeight="1">
      <c r="A146" s="9">
        <v>2.5871041E7</v>
      </c>
      <c r="B146" s="9" t="s">
        <v>986</v>
      </c>
      <c r="C146" s="9" t="s">
        <v>987</v>
      </c>
      <c r="D146" s="9" t="s">
        <v>76</v>
      </c>
      <c r="E146" s="9" t="s">
        <v>757</v>
      </c>
      <c r="F146" s="9" t="s">
        <v>909</v>
      </c>
      <c r="G146" s="9" t="s">
        <v>105</v>
      </c>
      <c r="H146" s="19">
        <v>44228.0</v>
      </c>
      <c r="I146" s="9" t="s">
        <v>988</v>
      </c>
      <c r="J146" s="9" t="s">
        <v>989</v>
      </c>
      <c r="K146" s="9">
        <v>8.5933133126E10</v>
      </c>
      <c r="L146" s="5" t="s">
        <v>28</v>
      </c>
      <c r="M146" s="9" t="s">
        <v>990</v>
      </c>
      <c r="N146" s="9">
        <v>2.5871041E7</v>
      </c>
    </row>
    <row r="147" ht="15.75" customHeight="1">
      <c r="A147" s="9">
        <v>2.5871048E7</v>
      </c>
      <c r="B147" s="9" t="s">
        <v>991</v>
      </c>
      <c r="C147" s="9" t="s">
        <v>992</v>
      </c>
      <c r="D147" s="9" t="s">
        <v>76</v>
      </c>
      <c r="E147" s="9" t="s">
        <v>757</v>
      </c>
      <c r="F147" s="9" t="s">
        <v>909</v>
      </c>
      <c r="G147" s="9" t="s">
        <v>105</v>
      </c>
      <c r="H147" s="9" t="s">
        <v>993</v>
      </c>
      <c r="I147" s="9" t="s">
        <v>994</v>
      </c>
      <c r="J147" s="9" t="s">
        <v>995</v>
      </c>
      <c r="K147" s="9">
        <v>8.223088285E10</v>
      </c>
      <c r="L147" s="5" t="s">
        <v>28</v>
      </c>
      <c r="M147" s="9" t="s">
        <v>996</v>
      </c>
      <c r="N147" s="9">
        <v>2.5871048E7</v>
      </c>
    </row>
    <row r="148" ht="15.75" customHeight="1">
      <c r="A148" s="9">
        <v>2.5871028E7</v>
      </c>
      <c r="B148" s="9" t="s">
        <v>997</v>
      </c>
      <c r="C148" s="9" t="s">
        <v>998</v>
      </c>
      <c r="D148" s="9" t="s">
        <v>76</v>
      </c>
      <c r="E148" s="9" t="s">
        <v>757</v>
      </c>
      <c r="F148" s="9" t="s">
        <v>999</v>
      </c>
      <c r="G148" s="9" t="s">
        <v>105</v>
      </c>
      <c r="H148" s="19">
        <v>43898.0</v>
      </c>
      <c r="I148" s="9" t="s">
        <v>588</v>
      </c>
      <c r="J148" s="9" t="s">
        <v>589</v>
      </c>
      <c r="K148" s="9">
        <v>8.123578753E10</v>
      </c>
      <c r="L148" s="5" t="s">
        <v>28</v>
      </c>
      <c r="M148" s="9" t="s">
        <v>1000</v>
      </c>
      <c r="N148" s="9">
        <v>2.5871028E7</v>
      </c>
    </row>
    <row r="149" ht="15.75" customHeight="1">
      <c r="A149" s="9">
        <v>2.5871002E7</v>
      </c>
      <c r="B149" s="9" t="s">
        <v>1001</v>
      </c>
      <c r="C149" s="9" t="s">
        <v>1002</v>
      </c>
      <c r="D149" s="9" t="s">
        <v>76</v>
      </c>
      <c r="E149" s="9" t="s">
        <v>757</v>
      </c>
      <c r="F149" s="9" t="s">
        <v>999</v>
      </c>
      <c r="G149" s="9" t="s">
        <v>105</v>
      </c>
      <c r="H149" s="9" t="s">
        <v>1003</v>
      </c>
      <c r="I149" s="9" t="s">
        <v>1004</v>
      </c>
      <c r="J149" s="9" t="s">
        <v>1005</v>
      </c>
      <c r="K149" s="9">
        <v>8.5234012505E10</v>
      </c>
      <c r="L149" s="5" t="s">
        <v>28</v>
      </c>
      <c r="M149" s="9" t="s">
        <v>1006</v>
      </c>
      <c r="N149" s="9">
        <v>2.5871002E7</v>
      </c>
    </row>
    <row r="150" ht="15.75" customHeight="1">
      <c r="A150" s="9">
        <v>2.4871068E7</v>
      </c>
      <c r="B150" s="9" t="s">
        <v>1007</v>
      </c>
      <c r="C150" s="9" t="s">
        <v>1008</v>
      </c>
      <c r="D150" s="9" t="s">
        <v>41</v>
      </c>
      <c r="E150" s="9" t="s">
        <v>757</v>
      </c>
      <c r="F150" s="9" t="s">
        <v>999</v>
      </c>
      <c r="G150" s="9" t="s">
        <v>44</v>
      </c>
      <c r="H150" s="19">
        <v>43837.0</v>
      </c>
      <c r="I150" s="9" t="s">
        <v>1009</v>
      </c>
      <c r="J150" s="9" t="s">
        <v>1010</v>
      </c>
      <c r="K150" s="9">
        <v>8.7759900007E10</v>
      </c>
      <c r="L150" s="5" t="s">
        <v>28</v>
      </c>
      <c r="M150" s="9" t="s">
        <v>1011</v>
      </c>
      <c r="N150" s="9">
        <v>2.4871068E7</v>
      </c>
    </row>
    <row r="151" ht="15.75" customHeight="1">
      <c r="A151" s="9">
        <v>2.4871041E7</v>
      </c>
      <c r="B151" s="9" t="s">
        <v>1012</v>
      </c>
      <c r="C151" s="9" t="s">
        <v>1013</v>
      </c>
      <c r="D151" s="9" t="s">
        <v>41</v>
      </c>
      <c r="E151" s="9" t="s">
        <v>757</v>
      </c>
      <c r="F151" s="9" t="s">
        <v>999</v>
      </c>
      <c r="G151" s="9" t="s">
        <v>105</v>
      </c>
      <c r="H151" s="9" t="s">
        <v>1014</v>
      </c>
      <c r="I151" s="9" t="s">
        <v>1015</v>
      </c>
      <c r="J151" s="9" t="s">
        <v>1016</v>
      </c>
      <c r="K151" s="9">
        <v>8.5655798495E10</v>
      </c>
      <c r="L151" s="5" t="s">
        <v>28</v>
      </c>
      <c r="M151" s="9" t="s">
        <v>1017</v>
      </c>
      <c r="N151" s="9">
        <v>2.4871041E7</v>
      </c>
    </row>
    <row r="152" ht="15.75" customHeight="1">
      <c r="A152" s="9">
        <v>2.6871045E7</v>
      </c>
      <c r="B152" s="9" t="s">
        <v>1018</v>
      </c>
      <c r="C152" s="9" t="s">
        <v>1019</v>
      </c>
      <c r="D152" s="9" t="s">
        <v>76</v>
      </c>
      <c r="E152" s="9" t="s">
        <v>757</v>
      </c>
      <c r="F152" s="9" t="s">
        <v>999</v>
      </c>
      <c r="G152" s="9" t="s">
        <v>44</v>
      </c>
      <c r="H152" s="9" t="s">
        <v>1020</v>
      </c>
      <c r="I152" s="9" t="s">
        <v>752</v>
      </c>
      <c r="J152" s="9" t="s">
        <v>753</v>
      </c>
      <c r="K152" s="9">
        <v>8.2142220005E10</v>
      </c>
      <c r="L152" s="5" t="s">
        <v>28</v>
      </c>
      <c r="M152" s="9" t="s">
        <v>754</v>
      </c>
      <c r="N152" s="9">
        <v>2.6871045E7</v>
      </c>
    </row>
    <row r="153" ht="15.75" customHeight="1">
      <c r="A153" s="9">
        <v>2.5871033E7</v>
      </c>
      <c r="B153" s="9" t="s">
        <v>1021</v>
      </c>
      <c r="C153" s="9" t="s">
        <v>1022</v>
      </c>
      <c r="D153" s="9" t="s">
        <v>41</v>
      </c>
      <c r="E153" s="9" t="s">
        <v>757</v>
      </c>
      <c r="F153" s="9" t="s">
        <v>999</v>
      </c>
      <c r="G153" s="9" t="s">
        <v>44</v>
      </c>
      <c r="H153" s="19">
        <v>44318.0</v>
      </c>
      <c r="I153" s="9" t="s">
        <v>1023</v>
      </c>
      <c r="J153" s="9" t="s">
        <v>1024</v>
      </c>
      <c r="K153" s="9">
        <v>8.18828288E8</v>
      </c>
      <c r="L153" s="5" t="s">
        <v>28</v>
      </c>
      <c r="M153" s="9" t="s">
        <v>1025</v>
      </c>
      <c r="N153" s="9">
        <v>2.5871033E7</v>
      </c>
    </row>
    <row r="154" ht="15.75" customHeight="1">
      <c r="A154" s="9">
        <v>2.5871017E7</v>
      </c>
      <c r="B154" s="9" t="s">
        <v>1026</v>
      </c>
      <c r="C154" s="9" t="s">
        <v>1027</v>
      </c>
      <c r="D154" s="9" t="s">
        <v>41</v>
      </c>
      <c r="E154" s="9" t="s">
        <v>757</v>
      </c>
      <c r="F154" s="9" t="s">
        <v>999</v>
      </c>
      <c r="G154" s="9" t="s">
        <v>105</v>
      </c>
      <c r="H154" s="19">
        <v>44015.0</v>
      </c>
      <c r="I154" s="9" t="s">
        <v>1028</v>
      </c>
      <c r="J154" s="9" t="s">
        <v>1029</v>
      </c>
      <c r="K154" s="9">
        <v>8.133340277E10</v>
      </c>
      <c r="L154" s="5" t="s">
        <v>28</v>
      </c>
      <c r="M154" s="9" t="s">
        <v>1030</v>
      </c>
      <c r="N154" s="9">
        <v>2.5871017E7</v>
      </c>
    </row>
    <row r="155" ht="15.75" customHeight="1">
      <c r="A155" s="9">
        <v>2.5871049E7</v>
      </c>
      <c r="B155" s="9" t="s">
        <v>1031</v>
      </c>
      <c r="C155" s="9" t="s">
        <v>1032</v>
      </c>
      <c r="D155" s="9" t="s">
        <v>41</v>
      </c>
      <c r="E155" s="9" t="s">
        <v>757</v>
      </c>
      <c r="F155" s="9" t="s">
        <v>999</v>
      </c>
      <c r="G155" s="9" t="s">
        <v>105</v>
      </c>
      <c r="H155" s="19">
        <v>44352.0</v>
      </c>
      <c r="I155" s="9" t="s">
        <v>1033</v>
      </c>
      <c r="J155" s="9" t="s">
        <v>1034</v>
      </c>
      <c r="K155" s="9">
        <v>8.1333871E10</v>
      </c>
      <c r="L155" s="5" t="s">
        <v>28</v>
      </c>
      <c r="M155" s="9" t="s">
        <v>1035</v>
      </c>
      <c r="N155" s="9">
        <v>2.5871049E7</v>
      </c>
    </row>
    <row r="156" ht="15.75" customHeight="1">
      <c r="A156" s="9">
        <v>2.5871001E7</v>
      </c>
      <c r="B156" s="9" t="s">
        <v>1036</v>
      </c>
      <c r="C156" s="9" t="s">
        <v>1037</v>
      </c>
      <c r="D156" s="9" t="s">
        <v>41</v>
      </c>
      <c r="E156" s="9" t="s">
        <v>757</v>
      </c>
      <c r="F156" s="9" t="s">
        <v>999</v>
      </c>
      <c r="G156" s="9" t="s">
        <v>330</v>
      </c>
      <c r="H156" s="19">
        <v>43990.0</v>
      </c>
      <c r="I156" s="9" t="s">
        <v>1038</v>
      </c>
      <c r="J156" s="9" t="s">
        <v>1039</v>
      </c>
      <c r="K156" s="9">
        <v>8.1357248289E10</v>
      </c>
      <c r="L156" s="5" t="s">
        <v>28</v>
      </c>
      <c r="M156" s="9" t="s">
        <v>1040</v>
      </c>
      <c r="N156" s="9">
        <v>2.5871001E7</v>
      </c>
    </row>
    <row r="157" ht="15.75" customHeight="1">
      <c r="A157" s="9">
        <v>2.5871006E7</v>
      </c>
      <c r="B157" s="9" t="s">
        <v>1041</v>
      </c>
      <c r="C157" s="9" t="s">
        <v>1042</v>
      </c>
      <c r="D157" s="9" t="s">
        <v>76</v>
      </c>
      <c r="E157" s="9" t="s">
        <v>757</v>
      </c>
      <c r="F157" s="9" t="s">
        <v>999</v>
      </c>
      <c r="G157" s="9" t="s">
        <v>44</v>
      </c>
      <c r="H157" s="19">
        <v>44411.0</v>
      </c>
      <c r="I157" s="9" t="s">
        <v>1043</v>
      </c>
      <c r="J157" s="9" t="s">
        <v>1044</v>
      </c>
      <c r="K157" s="9">
        <v>8.133444886E10</v>
      </c>
      <c r="L157" s="5" t="s">
        <v>28</v>
      </c>
      <c r="M157" s="9" t="s">
        <v>1045</v>
      </c>
      <c r="N157" s="9">
        <v>2.5871006E7</v>
      </c>
    </row>
    <row r="158" ht="15.75" customHeight="1">
      <c r="A158" s="9">
        <v>2.5871044E7</v>
      </c>
      <c r="B158" s="9" t="s">
        <v>1046</v>
      </c>
      <c r="C158" s="9" t="s">
        <v>1047</v>
      </c>
      <c r="D158" s="9" t="s">
        <v>76</v>
      </c>
      <c r="E158" s="9" t="s">
        <v>757</v>
      </c>
      <c r="F158" s="9" t="s">
        <v>999</v>
      </c>
      <c r="G158" s="9" t="s">
        <v>44</v>
      </c>
      <c r="H158" s="9" t="s">
        <v>1048</v>
      </c>
      <c r="I158" s="9" t="s">
        <v>1049</v>
      </c>
      <c r="J158" s="9" t="s">
        <v>1050</v>
      </c>
      <c r="K158" s="9">
        <v>8.1213835286E10</v>
      </c>
      <c r="L158" s="5" t="s">
        <v>28</v>
      </c>
      <c r="M158" s="9" t="s">
        <v>1051</v>
      </c>
      <c r="N158" s="9">
        <v>2.5871044E7</v>
      </c>
    </row>
    <row r="159" ht="15.75" customHeight="1">
      <c r="A159" s="9">
        <v>2.5871037E7</v>
      </c>
      <c r="B159" s="9" t="s">
        <v>1052</v>
      </c>
      <c r="C159" s="9" t="s">
        <v>1053</v>
      </c>
      <c r="D159" s="9" t="s">
        <v>41</v>
      </c>
      <c r="E159" s="9" t="s">
        <v>757</v>
      </c>
      <c r="F159" s="9" t="s">
        <v>999</v>
      </c>
      <c r="G159" s="9" t="s">
        <v>44</v>
      </c>
      <c r="H159" s="19">
        <v>44471.0</v>
      </c>
      <c r="I159" s="9" t="s">
        <v>1054</v>
      </c>
      <c r="J159" s="9" t="s">
        <v>1055</v>
      </c>
      <c r="K159" s="9">
        <v>8.1217231746E10</v>
      </c>
      <c r="L159" s="5" t="s">
        <v>28</v>
      </c>
      <c r="M159" s="9" t="s">
        <v>1056</v>
      </c>
      <c r="N159" s="9">
        <v>2.5871037E7</v>
      </c>
    </row>
    <row r="160" ht="15.75" customHeight="1">
      <c r="A160" s="9">
        <v>2.5871021E7</v>
      </c>
      <c r="B160" s="9" t="s">
        <v>1057</v>
      </c>
      <c r="C160" s="9" t="s">
        <v>1058</v>
      </c>
      <c r="D160" s="9" t="s">
        <v>76</v>
      </c>
      <c r="E160" s="9" t="s">
        <v>757</v>
      </c>
      <c r="F160" s="9" t="s">
        <v>999</v>
      </c>
      <c r="G160" s="9" t="s">
        <v>44</v>
      </c>
      <c r="H160" s="9" t="s">
        <v>1059</v>
      </c>
      <c r="I160" s="9" t="s">
        <v>1060</v>
      </c>
      <c r="J160" s="9" t="s">
        <v>1061</v>
      </c>
      <c r="K160" s="9">
        <v>8.9680891102E10</v>
      </c>
      <c r="L160" s="5" t="s">
        <v>28</v>
      </c>
      <c r="M160" s="9" t="s">
        <v>1062</v>
      </c>
      <c r="N160" s="9">
        <v>2.5871021E7</v>
      </c>
    </row>
    <row r="161" ht="15.75" customHeight="1">
      <c r="A161" s="9">
        <v>2.587104E7</v>
      </c>
      <c r="B161" s="9" t="s">
        <v>1063</v>
      </c>
      <c r="C161" s="9" t="s">
        <v>1064</v>
      </c>
      <c r="D161" s="9" t="s">
        <v>76</v>
      </c>
      <c r="E161" s="9" t="s">
        <v>757</v>
      </c>
      <c r="F161" s="9" t="s">
        <v>999</v>
      </c>
      <c r="G161" s="9" t="s">
        <v>1065</v>
      </c>
      <c r="H161" s="9" t="s">
        <v>1048</v>
      </c>
      <c r="I161" s="9" t="s">
        <v>1066</v>
      </c>
      <c r="J161" s="9" t="s">
        <v>1067</v>
      </c>
      <c r="K161" s="9">
        <v>8.989379366E9</v>
      </c>
      <c r="L161" s="5" t="s">
        <v>28</v>
      </c>
      <c r="M161" s="9" t="s">
        <v>1068</v>
      </c>
      <c r="N161" s="9">
        <v>2.587104E7</v>
      </c>
    </row>
    <row r="162" ht="15.75" customHeight="1">
      <c r="A162" s="9">
        <v>2.5871019E7</v>
      </c>
      <c r="B162" s="9" t="s">
        <v>1069</v>
      </c>
      <c r="C162" s="9" t="s">
        <v>1070</v>
      </c>
      <c r="D162" s="9" t="s">
        <v>41</v>
      </c>
      <c r="E162" s="9" t="s">
        <v>757</v>
      </c>
      <c r="F162" s="9" t="s">
        <v>999</v>
      </c>
      <c r="G162" s="9" t="s">
        <v>105</v>
      </c>
      <c r="H162" s="9" t="s">
        <v>876</v>
      </c>
      <c r="I162" s="9" t="s">
        <v>1071</v>
      </c>
      <c r="K162" s="9">
        <v>8.5649696469E10</v>
      </c>
      <c r="L162" s="5" t="s">
        <v>28</v>
      </c>
      <c r="M162" s="9" t="s">
        <v>1072</v>
      </c>
      <c r="N162" s="9">
        <v>2.5871019E7</v>
      </c>
    </row>
    <row r="163" ht="15.75" customHeight="1">
      <c r="A163" s="9">
        <v>2.6873003E7</v>
      </c>
      <c r="B163" s="9" t="s">
        <v>1073</v>
      </c>
      <c r="C163" s="9" t="s">
        <v>1074</v>
      </c>
      <c r="D163" s="9" t="s">
        <v>41</v>
      </c>
      <c r="E163" s="9" t="s">
        <v>1075</v>
      </c>
      <c r="F163" s="9" t="s">
        <v>1076</v>
      </c>
      <c r="G163" s="9" t="s">
        <v>127</v>
      </c>
      <c r="H163" s="9" t="s">
        <v>1077</v>
      </c>
      <c r="I163" s="9" t="s">
        <v>494</v>
      </c>
      <c r="K163" s="9">
        <v>8.123454746E9</v>
      </c>
      <c r="L163" s="5" t="s">
        <v>28</v>
      </c>
      <c r="M163" s="9" t="s">
        <v>1078</v>
      </c>
      <c r="N163" s="9">
        <v>2.6873003E7</v>
      </c>
    </row>
    <row r="164" ht="15.75" customHeight="1">
      <c r="A164" s="9">
        <v>2.6873001E7</v>
      </c>
      <c r="B164" s="9" t="s">
        <v>1079</v>
      </c>
      <c r="C164" s="9" t="s">
        <v>1080</v>
      </c>
      <c r="D164" s="9" t="s">
        <v>76</v>
      </c>
      <c r="E164" s="9" t="s">
        <v>1075</v>
      </c>
      <c r="F164" s="9" t="s">
        <v>1076</v>
      </c>
      <c r="G164" s="9" t="s">
        <v>127</v>
      </c>
      <c r="H164" s="12">
        <v>45665.0</v>
      </c>
      <c r="I164" s="9" t="s">
        <v>155</v>
      </c>
      <c r="K164" s="9">
        <v>8.2211225751E10</v>
      </c>
      <c r="L164" s="5" t="s">
        <v>28</v>
      </c>
      <c r="M164" s="9" t="s">
        <v>1081</v>
      </c>
      <c r="N164" s="9">
        <v>2.6873001E7</v>
      </c>
    </row>
    <row r="165" ht="15.75" customHeight="1">
      <c r="A165" s="9">
        <v>2.6873004E7</v>
      </c>
      <c r="B165" s="9" t="s">
        <v>1082</v>
      </c>
      <c r="C165" s="9" t="s">
        <v>498</v>
      </c>
      <c r="D165" s="9" t="s">
        <v>76</v>
      </c>
      <c r="E165" s="9" t="s">
        <v>1075</v>
      </c>
      <c r="F165" s="9" t="s">
        <v>1076</v>
      </c>
      <c r="G165" s="9" t="s">
        <v>127</v>
      </c>
      <c r="H165" s="9" t="s">
        <v>1083</v>
      </c>
      <c r="I165" s="9" t="s">
        <v>1084</v>
      </c>
      <c r="K165" s="9">
        <v>8.775468217E10</v>
      </c>
      <c r="L165" s="5" t="s">
        <v>28</v>
      </c>
      <c r="M165" s="9" t="s">
        <v>1085</v>
      </c>
      <c r="N165" s="9">
        <v>2.6873004E7</v>
      </c>
    </row>
    <row r="166" ht="15.75" customHeight="1">
      <c r="A166" s="9">
        <v>2.5873007E7</v>
      </c>
      <c r="B166" s="9" t="s">
        <v>1086</v>
      </c>
      <c r="C166" s="9" t="s">
        <v>1087</v>
      </c>
      <c r="D166" s="9" t="s">
        <v>41</v>
      </c>
      <c r="E166" s="9" t="s">
        <v>1075</v>
      </c>
      <c r="F166" s="9" t="s">
        <v>1076</v>
      </c>
      <c r="G166" s="9" t="s">
        <v>44</v>
      </c>
      <c r="H166" s="12">
        <v>45754.0</v>
      </c>
      <c r="I166" s="9" t="s">
        <v>1088</v>
      </c>
      <c r="K166" s="9">
        <v>8.5791243967E10</v>
      </c>
      <c r="L166" s="5" t="s">
        <v>28</v>
      </c>
      <c r="M166" s="9" t="s">
        <v>1089</v>
      </c>
      <c r="N166" s="9">
        <v>2.5873007E7</v>
      </c>
    </row>
    <row r="167" ht="15.75" customHeight="1">
      <c r="A167" s="9">
        <v>2.5873006E7</v>
      </c>
      <c r="B167" s="9" t="s">
        <v>1090</v>
      </c>
      <c r="C167" s="9" t="s">
        <v>1091</v>
      </c>
      <c r="D167" s="9" t="s">
        <v>76</v>
      </c>
      <c r="E167" s="9" t="s">
        <v>1075</v>
      </c>
      <c r="F167" s="9" t="s">
        <v>1076</v>
      </c>
      <c r="G167" s="9" t="s">
        <v>1092</v>
      </c>
      <c r="H167" s="9" t="s">
        <v>1093</v>
      </c>
      <c r="I167" s="9" t="s">
        <v>1094</v>
      </c>
      <c r="K167" s="9">
        <v>8.967933906E10</v>
      </c>
      <c r="L167" s="5" t="s">
        <v>28</v>
      </c>
      <c r="M167" s="9" t="s">
        <v>1095</v>
      </c>
      <c r="N167" s="9">
        <v>2.5873006E7</v>
      </c>
    </row>
    <row r="168" ht="15.75" customHeight="1">
      <c r="A168" s="9">
        <v>2.5873002E7</v>
      </c>
      <c r="B168" s="9" t="s">
        <v>1096</v>
      </c>
      <c r="C168" s="9" t="s">
        <v>1097</v>
      </c>
      <c r="D168" s="9" t="s">
        <v>41</v>
      </c>
      <c r="E168" s="9" t="s">
        <v>1075</v>
      </c>
      <c r="F168" s="9" t="s">
        <v>1076</v>
      </c>
      <c r="G168" s="9" t="s">
        <v>127</v>
      </c>
      <c r="H168" s="15">
        <v>45756.0</v>
      </c>
      <c r="I168" s="9" t="s">
        <v>1098</v>
      </c>
      <c r="K168" s="9">
        <v>8.1334695557E10</v>
      </c>
      <c r="L168" s="5" t="s">
        <v>28</v>
      </c>
      <c r="M168" s="9" t="s">
        <v>1099</v>
      </c>
      <c r="N168" s="9">
        <v>2.5873002E7</v>
      </c>
    </row>
    <row r="169" ht="15.75" customHeight="1">
      <c r="A169" s="9">
        <v>2.6873002E7</v>
      </c>
      <c r="B169" s="9" t="s">
        <v>1100</v>
      </c>
      <c r="C169" s="9" t="s">
        <v>1101</v>
      </c>
      <c r="D169" s="9" t="s">
        <v>76</v>
      </c>
      <c r="E169" s="9" t="s">
        <v>1075</v>
      </c>
      <c r="F169" s="9" t="s">
        <v>1076</v>
      </c>
      <c r="G169" s="9" t="s">
        <v>127</v>
      </c>
      <c r="H169" s="12">
        <v>45719.0</v>
      </c>
      <c r="I169" s="9" t="s">
        <v>1102</v>
      </c>
      <c r="K169" s="9">
        <v>8.1335243545E10</v>
      </c>
      <c r="L169" s="5" t="s">
        <v>28</v>
      </c>
      <c r="M169" s="9" t="s">
        <v>1103</v>
      </c>
      <c r="N169" s="9">
        <v>2.6873002E7</v>
      </c>
    </row>
    <row r="170" ht="15.75" customHeight="1">
      <c r="A170" s="9">
        <v>2.6873005E7</v>
      </c>
      <c r="B170" s="9" t="s">
        <v>1104</v>
      </c>
      <c r="C170" s="9" t="s">
        <v>1105</v>
      </c>
      <c r="D170" s="9" t="s">
        <v>41</v>
      </c>
      <c r="E170" s="9" t="s">
        <v>1075</v>
      </c>
      <c r="F170" s="9" t="s">
        <v>1076</v>
      </c>
      <c r="G170" s="9" t="s">
        <v>127</v>
      </c>
      <c r="H170" s="12">
        <v>45873.0</v>
      </c>
      <c r="I170" s="9" t="s">
        <v>1106</v>
      </c>
      <c r="K170" s="9">
        <v>8.1381477942E10</v>
      </c>
      <c r="L170" s="5" t="s">
        <v>28</v>
      </c>
      <c r="M170" s="9" t="s">
        <v>1107</v>
      </c>
      <c r="N170" s="9">
        <v>2.6873005E7</v>
      </c>
    </row>
    <row r="171" ht="15.75" customHeight="1">
      <c r="A171" s="9">
        <v>2.587105E7</v>
      </c>
      <c r="B171" s="9" t="s">
        <v>824</v>
      </c>
      <c r="C171" s="9" t="s">
        <v>825</v>
      </c>
      <c r="D171" s="9" t="s">
        <v>76</v>
      </c>
      <c r="E171" s="9" t="s">
        <v>1075</v>
      </c>
      <c r="F171" s="9" t="s">
        <v>1108</v>
      </c>
      <c r="G171" s="9" t="s">
        <v>105</v>
      </c>
      <c r="H171" s="9" t="s">
        <v>826</v>
      </c>
      <c r="I171" s="9" t="s">
        <v>827</v>
      </c>
      <c r="J171" s="9" t="s">
        <v>828</v>
      </c>
      <c r="K171" s="9">
        <v>8.1330334553E10</v>
      </c>
      <c r="L171" s="5" t="s">
        <v>28</v>
      </c>
      <c r="M171" s="9" t="s">
        <v>829</v>
      </c>
      <c r="N171" s="9">
        <v>2.587105E7</v>
      </c>
    </row>
    <row r="172" ht="15.75" customHeight="1">
      <c r="A172" s="9">
        <v>2.587105E7</v>
      </c>
      <c r="B172" s="9" t="s">
        <v>824</v>
      </c>
      <c r="C172" s="9" t="s">
        <v>825</v>
      </c>
      <c r="D172" s="9" t="s">
        <v>76</v>
      </c>
      <c r="E172" s="9" t="s">
        <v>96</v>
      </c>
      <c r="F172" s="9" t="s">
        <v>96</v>
      </c>
      <c r="G172" s="9" t="s">
        <v>105</v>
      </c>
      <c r="H172" s="9" t="s">
        <v>826</v>
      </c>
      <c r="I172" s="9" t="s">
        <v>827</v>
      </c>
      <c r="J172" s="9" t="s">
        <v>828</v>
      </c>
      <c r="K172" s="9">
        <v>8.1330334553E10</v>
      </c>
      <c r="L172" s="5" t="s">
        <v>28</v>
      </c>
      <c r="M172" s="9" t="s">
        <v>829</v>
      </c>
      <c r="N172" s="9">
        <v>2.587105E7</v>
      </c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11</v>
      </c>
      <c r="I1" s="1" t="s">
        <v>13</v>
      </c>
    </row>
    <row r="2" ht="15.75" customHeight="1">
      <c r="A2" s="4" t="s">
        <v>17</v>
      </c>
      <c r="B2" s="5" t="s">
        <v>20</v>
      </c>
      <c r="C2" s="5" t="s">
        <v>23</v>
      </c>
      <c r="F2" s="5">
        <v>15.0</v>
      </c>
      <c r="G2" s="4" t="s">
        <v>26</v>
      </c>
      <c r="H2" s="5" t="s">
        <v>28</v>
      </c>
      <c r="I2" s="7">
        <v>46282.85705329861</v>
      </c>
    </row>
    <row r="3" ht="15.75" customHeight="1">
      <c r="A3" s="4" t="s">
        <v>45</v>
      </c>
      <c r="B3" s="4" t="s">
        <v>47</v>
      </c>
      <c r="C3" s="5" t="s">
        <v>51</v>
      </c>
      <c r="D3" s="5" t="s">
        <v>53</v>
      </c>
      <c r="E3" s="5" t="s">
        <v>56</v>
      </c>
      <c r="F3" s="5">
        <v>25.0</v>
      </c>
      <c r="G3" s="4" t="s">
        <v>26</v>
      </c>
      <c r="H3" s="5" t="s">
        <v>28</v>
      </c>
      <c r="I3" s="7">
        <v>46282.88242502315</v>
      </c>
    </row>
    <row r="4" ht="15.75" customHeight="1">
      <c r="B4" s="4" t="s">
        <v>62</v>
      </c>
    </row>
    <row r="5" ht="15.75" customHeight="1">
      <c r="B5" s="4" t="s">
        <v>65</v>
      </c>
    </row>
    <row r="6" ht="15.75" customHeight="1">
      <c r="B6" s="9" t="s">
        <v>67</v>
      </c>
    </row>
    <row r="7" ht="15.75" customHeight="1">
      <c r="B7" s="9" t="s">
        <v>72</v>
      </c>
    </row>
    <row r="8" ht="15.75" customHeight="1">
      <c r="B8" s="9" t="s">
        <v>77</v>
      </c>
    </row>
    <row r="9" ht="15.75" customHeight="1">
      <c r="B9" s="9" t="s">
        <v>78</v>
      </c>
    </row>
    <row r="10" ht="15.75" customHeight="1">
      <c r="B10" s="9" t="s">
        <v>81</v>
      </c>
    </row>
    <row r="11" ht="15.75" customHeight="1">
      <c r="B11" s="9" t="s">
        <v>83</v>
      </c>
    </row>
    <row r="12" ht="15.75" customHeight="1">
      <c r="B12" s="9" t="s">
        <v>85</v>
      </c>
    </row>
    <row r="13" ht="15.75" customHeight="1">
      <c r="B13" s="9" t="s">
        <v>87</v>
      </c>
    </row>
    <row r="14" ht="15.75" customHeight="1">
      <c r="B14" s="9" t="s">
        <v>89</v>
      </c>
    </row>
    <row r="15" ht="15.75" customHeight="1">
      <c r="B15" s="9" t="s">
        <v>90</v>
      </c>
    </row>
    <row r="16" ht="15.75" customHeight="1">
      <c r="B16" s="9" t="s">
        <v>94</v>
      </c>
    </row>
    <row r="17" ht="15.75" customHeight="1">
      <c r="B17" s="9" t="s">
        <v>96</v>
      </c>
    </row>
    <row r="18" ht="15.75" customHeight="1">
      <c r="B18" s="9" t="s">
        <v>99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6" t="s">
        <v>3</v>
      </c>
      <c r="B1" s="6" t="s">
        <v>46</v>
      </c>
      <c r="C1" s="6" t="s">
        <v>50</v>
      </c>
      <c r="D1" s="6" t="s">
        <v>55</v>
      </c>
      <c r="E1" s="6" t="s">
        <v>58</v>
      </c>
      <c r="F1" s="6" t="s">
        <v>60</v>
      </c>
      <c r="G1" s="6" t="s">
        <v>61</v>
      </c>
      <c r="H1" s="6" t="s">
        <v>13</v>
      </c>
    </row>
    <row r="2" ht="15.75" customHeight="1">
      <c r="A2" s="5" t="s">
        <v>69</v>
      </c>
      <c r="B2" s="5" t="s">
        <v>26</v>
      </c>
      <c r="C2" s="5" t="s">
        <v>70</v>
      </c>
      <c r="D2" s="5" t="s">
        <v>28</v>
      </c>
      <c r="E2" s="5" t="s">
        <v>74</v>
      </c>
      <c r="F2" s="10">
        <v>45853.0</v>
      </c>
      <c r="G2" s="10">
        <v>46011.0</v>
      </c>
      <c r="H2" s="7">
        <v>46282.31029789352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6" t="s">
        <v>348</v>
      </c>
      <c r="B1" s="16" t="s">
        <v>2</v>
      </c>
      <c r="C1" s="16" t="s">
        <v>0</v>
      </c>
      <c r="D1" s="16" t="s">
        <v>3</v>
      </c>
      <c r="E1" s="16" t="s">
        <v>50</v>
      </c>
      <c r="F1" s="16" t="s">
        <v>351</v>
      </c>
      <c r="G1" s="16" t="s">
        <v>352</v>
      </c>
      <c r="H1" s="16" t="s">
        <v>354</v>
      </c>
      <c r="I1" s="16" t="s">
        <v>355</v>
      </c>
      <c r="J1" s="16" t="s">
        <v>356</v>
      </c>
      <c r="K1" s="16" t="s">
        <v>358</v>
      </c>
      <c r="L1" s="16" t="s">
        <v>360</v>
      </c>
      <c r="M1" s="16" t="s">
        <v>361</v>
      </c>
      <c r="N1" s="16" t="s">
        <v>362</v>
      </c>
      <c r="O1" s="16" t="s">
        <v>363</v>
      </c>
      <c r="P1" s="16" t="s">
        <v>13</v>
      </c>
      <c r="Q1" s="5"/>
    </row>
    <row r="2" ht="15.75" customHeight="1">
      <c r="A2" s="5" t="s">
        <v>367</v>
      </c>
      <c r="B2" s="5">
        <v>202603.0</v>
      </c>
      <c r="C2" s="5" t="s">
        <v>369</v>
      </c>
      <c r="D2" s="5" t="s">
        <v>370</v>
      </c>
      <c r="E2" s="5" t="s">
        <v>372</v>
      </c>
      <c r="F2" s="5" t="s">
        <v>374</v>
      </c>
      <c r="G2" s="18" t="s">
        <v>376</v>
      </c>
      <c r="H2" s="5" t="s">
        <v>396</v>
      </c>
      <c r="I2" s="5" t="s">
        <v>397</v>
      </c>
      <c r="K2" s="5" t="s">
        <v>399</v>
      </c>
      <c r="L2" s="5" t="s">
        <v>400</v>
      </c>
      <c r="M2" s="5" t="s">
        <v>403</v>
      </c>
      <c r="N2" s="5" t="s">
        <v>405</v>
      </c>
      <c r="O2" s="5" t="s">
        <v>406</v>
      </c>
      <c r="P2" s="5" t="s">
        <v>407</v>
      </c>
      <c r="Q2" s="7">
        <v>46282.857068310186</v>
      </c>
    </row>
    <row r="3" ht="15.75" customHeight="1">
      <c r="A3" s="5" t="s">
        <v>411</v>
      </c>
      <c r="B3" s="5">
        <v>202601.0</v>
      </c>
      <c r="C3" s="5" t="s">
        <v>414</v>
      </c>
      <c r="D3" s="5" t="s">
        <v>370</v>
      </c>
      <c r="E3" s="5" t="s">
        <v>372</v>
      </c>
      <c r="F3" s="5" t="s">
        <v>417</v>
      </c>
      <c r="G3" s="18" t="s">
        <v>376</v>
      </c>
      <c r="H3" s="5" t="s">
        <v>420</v>
      </c>
      <c r="I3" s="5" t="s">
        <v>422</v>
      </c>
      <c r="K3" s="5" t="s">
        <v>423</v>
      </c>
      <c r="P3" s="5" t="s">
        <v>425</v>
      </c>
      <c r="Q3" s="7">
        <v>46282.85706837963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7" t="s">
        <v>13</v>
      </c>
      <c r="B1" s="17" t="s">
        <v>395</v>
      </c>
      <c r="C1" s="17" t="s">
        <v>15</v>
      </c>
      <c r="D1" s="17" t="s">
        <v>398</v>
      </c>
      <c r="E1" s="17" t="s">
        <v>401</v>
      </c>
    </row>
    <row r="2" ht="15.75" customHeight="1">
      <c r="A2" s="7">
        <v>46282.31032900463</v>
      </c>
      <c r="B2" s="5" t="s">
        <v>410</v>
      </c>
      <c r="C2" s="5" t="s">
        <v>413</v>
      </c>
      <c r="D2" s="5" t="s">
        <v>415</v>
      </c>
      <c r="E2" s="5" t="s">
        <v>416</v>
      </c>
    </row>
    <row r="3" ht="15.75" customHeight="1">
      <c r="A3" s="7">
        <v>46282.31088020833</v>
      </c>
      <c r="B3" s="5" t="s">
        <v>426</v>
      </c>
      <c r="C3" s="5" t="s">
        <v>37</v>
      </c>
      <c r="D3" s="5" t="s">
        <v>428</v>
      </c>
      <c r="E3" s="5" t="s">
        <v>430</v>
      </c>
    </row>
    <row r="4" ht="15.75" customHeight="1">
      <c r="A4" s="7">
        <v>46282.31119245371</v>
      </c>
      <c r="B4" s="5" t="s">
        <v>431</v>
      </c>
      <c r="C4" s="5" t="s">
        <v>59</v>
      </c>
      <c r="D4" s="5" t="s">
        <v>428</v>
      </c>
      <c r="E4" s="5" t="s">
        <v>433</v>
      </c>
    </row>
    <row r="5" ht="15.75" customHeight="1">
      <c r="A5" s="7">
        <v>46282.311754027774</v>
      </c>
      <c r="B5" s="5" t="s">
        <v>435</v>
      </c>
      <c r="C5" s="5" t="s">
        <v>106</v>
      </c>
      <c r="D5" s="5" t="s">
        <v>428</v>
      </c>
      <c r="E5" s="5" t="s">
        <v>437</v>
      </c>
    </row>
    <row r="6" ht="15.75" customHeight="1">
      <c r="A6" s="7">
        <v>46282.31188833334</v>
      </c>
      <c r="B6" s="5" t="s">
        <v>440</v>
      </c>
      <c r="C6" s="5" t="s">
        <v>441</v>
      </c>
      <c r="D6" s="5" t="s">
        <v>428</v>
      </c>
      <c r="E6" s="5" t="s">
        <v>442</v>
      </c>
    </row>
    <row r="7" ht="15.75" customHeight="1">
      <c r="A7" s="7">
        <v>46282.31284159722</v>
      </c>
      <c r="B7" s="5" t="s">
        <v>426</v>
      </c>
      <c r="C7" s="5" t="s">
        <v>37</v>
      </c>
      <c r="D7" s="5" t="s">
        <v>428</v>
      </c>
      <c r="E7" s="5" t="s">
        <v>430</v>
      </c>
    </row>
    <row r="8" ht="15.75" customHeight="1">
      <c r="A8" s="7">
        <v>46282.460486805554</v>
      </c>
      <c r="B8" s="5" t="s">
        <v>426</v>
      </c>
      <c r="C8" s="5" t="s">
        <v>37</v>
      </c>
      <c r="D8" s="5" t="s">
        <v>428</v>
      </c>
      <c r="E8" s="5" t="s">
        <v>430</v>
      </c>
    </row>
    <row r="9" ht="15.75" customHeight="1">
      <c r="A9" s="7">
        <v>46282.830029687495</v>
      </c>
      <c r="B9" s="5" t="s">
        <v>426</v>
      </c>
      <c r="C9" s="5" t="s">
        <v>37</v>
      </c>
      <c r="D9" s="5" t="s">
        <v>428</v>
      </c>
      <c r="E9" s="5" t="s">
        <v>430</v>
      </c>
    </row>
    <row r="10" ht="15.75" customHeight="1">
      <c r="A10" s="7">
        <v>46282.83149966435</v>
      </c>
      <c r="B10" s="5" t="s">
        <v>426</v>
      </c>
      <c r="C10" s="5" t="s">
        <v>37</v>
      </c>
      <c r="D10" s="5" t="s">
        <v>428</v>
      </c>
      <c r="E10" s="5" t="s">
        <v>430</v>
      </c>
    </row>
    <row r="11" ht="15.75" customHeight="1">
      <c r="A11" s="7">
        <v>46282.83758266203</v>
      </c>
      <c r="B11" s="5" t="s">
        <v>426</v>
      </c>
      <c r="C11" s="5" t="s">
        <v>37</v>
      </c>
      <c r="D11" s="5" t="s">
        <v>428</v>
      </c>
      <c r="E11" s="5" t="s">
        <v>430</v>
      </c>
    </row>
    <row r="12" ht="15.75" customHeight="1">
      <c r="A12" s="7">
        <v>46282.83815491898</v>
      </c>
      <c r="B12" s="5" t="s">
        <v>426</v>
      </c>
      <c r="C12" s="5" t="s">
        <v>37</v>
      </c>
      <c r="D12" s="5" t="s">
        <v>428</v>
      </c>
      <c r="E12" s="5" t="s">
        <v>430</v>
      </c>
    </row>
    <row r="13" ht="15.75" customHeight="1">
      <c r="A13" s="7">
        <v>46282.83864072917</v>
      </c>
      <c r="B13" s="5" t="s">
        <v>460</v>
      </c>
      <c r="C13" s="5" t="s">
        <v>37</v>
      </c>
      <c r="D13" s="5" t="s">
        <v>461</v>
      </c>
      <c r="E13" s="5" t="s">
        <v>462</v>
      </c>
    </row>
    <row r="14" ht="15.75" customHeight="1">
      <c r="A14" s="7">
        <v>46282.83866621528</v>
      </c>
      <c r="B14" s="5" t="s">
        <v>460</v>
      </c>
      <c r="C14" s="5" t="s">
        <v>37</v>
      </c>
      <c r="D14" s="5" t="s">
        <v>466</v>
      </c>
      <c r="E14" s="5" t="s">
        <v>468</v>
      </c>
    </row>
    <row r="15" ht="15.75" customHeight="1">
      <c r="A15" s="7">
        <v>46282.83884303241</v>
      </c>
      <c r="B15" s="5" t="s">
        <v>426</v>
      </c>
      <c r="C15" s="5" t="s">
        <v>37</v>
      </c>
      <c r="D15" s="5" t="s">
        <v>428</v>
      </c>
      <c r="E15" s="5" t="s">
        <v>430</v>
      </c>
    </row>
    <row r="16" ht="15.75" customHeight="1">
      <c r="A16" s="7">
        <v>46282.839910497685</v>
      </c>
      <c r="B16" s="5" t="s">
        <v>460</v>
      </c>
      <c r="C16" s="5" t="s">
        <v>37</v>
      </c>
      <c r="D16" s="5" t="s">
        <v>472</v>
      </c>
      <c r="E16" s="5" t="s">
        <v>473</v>
      </c>
    </row>
    <row r="17" ht="15.75" customHeight="1">
      <c r="A17" s="7">
        <v>46282.8434662963</v>
      </c>
      <c r="B17" s="5" t="s">
        <v>426</v>
      </c>
      <c r="C17" s="5" t="s">
        <v>37</v>
      </c>
      <c r="D17" s="5" t="s">
        <v>428</v>
      </c>
      <c r="E17" s="5" t="s">
        <v>430</v>
      </c>
    </row>
    <row r="18" ht="15.75" customHeight="1">
      <c r="A18" s="7">
        <v>46282.844497928236</v>
      </c>
      <c r="B18" s="5" t="s">
        <v>426</v>
      </c>
      <c r="C18" s="5" t="s">
        <v>37</v>
      </c>
      <c r="D18" s="5" t="s">
        <v>428</v>
      </c>
      <c r="E18" s="5" t="s">
        <v>430</v>
      </c>
    </row>
    <row r="19" ht="15.75" customHeight="1">
      <c r="A19" s="7">
        <v>46282.854674409726</v>
      </c>
      <c r="B19" s="5" t="s">
        <v>460</v>
      </c>
      <c r="C19" s="5" t="s">
        <v>37</v>
      </c>
      <c r="D19" s="5" t="s">
        <v>482</v>
      </c>
      <c r="E19" s="5" t="s">
        <v>484</v>
      </c>
    </row>
    <row r="20" ht="15.75" customHeight="1">
      <c r="A20" s="7">
        <v>46282.85494267361</v>
      </c>
      <c r="B20" s="5" t="s">
        <v>426</v>
      </c>
      <c r="C20" s="5" t="s">
        <v>37</v>
      </c>
      <c r="D20" s="5" t="s">
        <v>428</v>
      </c>
      <c r="E20" s="5" t="s">
        <v>430</v>
      </c>
    </row>
    <row r="21" ht="15.75" customHeight="1">
      <c r="A21" s="7">
        <v>46282.856055717595</v>
      </c>
      <c r="B21" s="5" t="s">
        <v>460</v>
      </c>
      <c r="C21" s="5" t="s">
        <v>487</v>
      </c>
      <c r="D21" s="5" t="s">
        <v>488</v>
      </c>
      <c r="E21" s="5" t="s">
        <v>489</v>
      </c>
    </row>
    <row r="22" ht="15.75" customHeight="1">
      <c r="A22" s="7">
        <v>46282.85634277778</v>
      </c>
      <c r="B22" s="5" t="s">
        <v>426</v>
      </c>
      <c r="C22" s="5" t="s">
        <v>37</v>
      </c>
      <c r="D22" s="5" t="s">
        <v>428</v>
      </c>
      <c r="E22" s="5" t="s">
        <v>430</v>
      </c>
    </row>
    <row r="23" ht="15.75" customHeight="1">
      <c r="A23" s="7">
        <v>46282.85706971065</v>
      </c>
      <c r="B23" s="5" t="s">
        <v>460</v>
      </c>
      <c r="C23" s="5" t="s">
        <v>487</v>
      </c>
      <c r="D23" s="5" t="s">
        <v>488</v>
      </c>
      <c r="E23" s="5" t="s">
        <v>489</v>
      </c>
    </row>
    <row r="24" ht="15.75" customHeight="1">
      <c r="A24" s="7">
        <v>46282.857256400464</v>
      </c>
      <c r="B24" s="5" t="s">
        <v>460</v>
      </c>
      <c r="C24" s="5" t="s">
        <v>37</v>
      </c>
      <c r="D24" s="5" t="s">
        <v>482</v>
      </c>
      <c r="E24" s="5" t="s">
        <v>484</v>
      </c>
    </row>
    <row r="25" ht="15.75" customHeight="1">
      <c r="A25" s="7">
        <v>46282.858157395836</v>
      </c>
      <c r="B25" s="5" t="s">
        <v>426</v>
      </c>
      <c r="C25" s="5" t="s">
        <v>37</v>
      </c>
      <c r="D25" s="5" t="s">
        <v>428</v>
      </c>
      <c r="E25" s="5" t="s">
        <v>430</v>
      </c>
    </row>
    <row r="26" ht="15.75" customHeight="1">
      <c r="A26" s="7">
        <v>46282.864921388886</v>
      </c>
      <c r="B26" s="5" t="s">
        <v>426</v>
      </c>
      <c r="C26" s="5" t="s">
        <v>37</v>
      </c>
      <c r="D26" s="5" t="s">
        <v>428</v>
      </c>
      <c r="E26" s="5" t="s">
        <v>430</v>
      </c>
    </row>
    <row r="27" ht="15.75" customHeight="1">
      <c r="A27" s="7">
        <v>46282.86520148148</v>
      </c>
      <c r="B27" s="5" t="s">
        <v>460</v>
      </c>
      <c r="C27" s="5" t="s">
        <v>37</v>
      </c>
      <c r="D27" s="5" t="s">
        <v>482</v>
      </c>
      <c r="E27" s="5" t="s">
        <v>484</v>
      </c>
    </row>
    <row r="28" ht="15.75" customHeight="1">
      <c r="A28" s="7">
        <v>46282.867656608796</v>
      </c>
      <c r="B28" s="5" t="s">
        <v>426</v>
      </c>
      <c r="C28" s="5" t="s">
        <v>37</v>
      </c>
      <c r="D28" s="5" t="s">
        <v>428</v>
      </c>
      <c r="E28" s="5" t="s">
        <v>430</v>
      </c>
    </row>
    <row r="29" ht="15.75" customHeight="1">
      <c r="A29" s="7">
        <v>46282.87102614583</v>
      </c>
      <c r="B29" s="5" t="s">
        <v>460</v>
      </c>
      <c r="C29" s="5" t="s">
        <v>37</v>
      </c>
      <c r="D29" s="5" t="s">
        <v>505</v>
      </c>
      <c r="E29" s="5" t="s">
        <v>506</v>
      </c>
    </row>
    <row r="30" ht="15.75" customHeight="1">
      <c r="A30" s="7">
        <v>46282.871159675924</v>
      </c>
      <c r="B30" s="5" t="s">
        <v>460</v>
      </c>
      <c r="C30" s="5" t="s">
        <v>37</v>
      </c>
      <c r="D30" s="5" t="s">
        <v>505</v>
      </c>
      <c r="E30" s="5" t="s">
        <v>511</v>
      </c>
    </row>
    <row r="31" ht="15.75" customHeight="1">
      <c r="A31" s="7">
        <v>46282.87129898148</v>
      </c>
      <c r="B31" s="5" t="s">
        <v>460</v>
      </c>
      <c r="C31" s="5" t="s">
        <v>37</v>
      </c>
      <c r="D31" s="5" t="s">
        <v>505</v>
      </c>
      <c r="E31" s="5" t="s">
        <v>514</v>
      </c>
    </row>
    <row r="32" ht="15.75" customHeight="1">
      <c r="A32" s="7">
        <v>46282.8715099074</v>
      </c>
      <c r="B32" s="5" t="s">
        <v>460</v>
      </c>
      <c r="C32" s="5" t="s">
        <v>37</v>
      </c>
      <c r="D32" s="5" t="s">
        <v>505</v>
      </c>
      <c r="E32" s="5" t="s">
        <v>515</v>
      </c>
    </row>
    <row r="33" ht="15.75" customHeight="1">
      <c r="A33" s="7">
        <v>46282.87192261574</v>
      </c>
      <c r="B33" s="5" t="s">
        <v>460</v>
      </c>
      <c r="C33" s="5" t="s">
        <v>37</v>
      </c>
      <c r="D33" s="5" t="s">
        <v>518</v>
      </c>
      <c r="E33" s="5" t="s">
        <v>519</v>
      </c>
    </row>
    <row r="34" ht="15.75" customHeight="1">
      <c r="A34" s="7">
        <v>46282.87224114583</v>
      </c>
      <c r="B34" s="5" t="s">
        <v>460</v>
      </c>
      <c r="C34" s="5" t="s">
        <v>37</v>
      </c>
      <c r="D34" s="5" t="s">
        <v>522</v>
      </c>
      <c r="E34" s="5" t="s">
        <v>523</v>
      </c>
    </row>
    <row r="35" ht="15.75" customHeight="1">
      <c r="A35" s="7">
        <v>46282.87243091435</v>
      </c>
      <c r="B35" s="5" t="s">
        <v>460</v>
      </c>
      <c r="C35" s="5" t="s">
        <v>37</v>
      </c>
      <c r="D35" s="5" t="s">
        <v>522</v>
      </c>
      <c r="E35" s="5" t="s">
        <v>526</v>
      </c>
    </row>
    <row r="36" ht="15.75" customHeight="1">
      <c r="A36" s="7">
        <v>46282.873048657406</v>
      </c>
      <c r="B36" s="5" t="s">
        <v>531</v>
      </c>
      <c r="C36" s="5" t="s">
        <v>441</v>
      </c>
      <c r="D36" s="5" t="s">
        <v>428</v>
      </c>
      <c r="E36" s="5" t="s">
        <v>442</v>
      </c>
    </row>
    <row r="37" ht="15.75" customHeight="1">
      <c r="A37" s="7">
        <v>46282.87365684028</v>
      </c>
      <c r="B37" s="5" t="s">
        <v>426</v>
      </c>
      <c r="C37" s="5" t="s">
        <v>37</v>
      </c>
      <c r="D37" s="5" t="s">
        <v>428</v>
      </c>
      <c r="E37" s="5" t="s">
        <v>430</v>
      </c>
    </row>
    <row r="38" ht="15.75" customHeight="1">
      <c r="A38" s="7">
        <v>46282.87407233796</v>
      </c>
      <c r="B38" s="5" t="s">
        <v>460</v>
      </c>
      <c r="C38" s="5" t="s">
        <v>37</v>
      </c>
      <c r="D38" s="5" t="s">
        <v>482</v>
      </c>
      <c r="E38" s="5" t="s">
        <v>484</v>
      </c>
    </row>
    <row r="39" ht="15.75" customHeight="1">
      <c r="A39" s="7">
        <v>46282.87759740741</v>
      </c>
      <c r="B39" s="5" t="s">
        <v>426</v>
      </c>
      <c r="C39" s="5" t="s">
        <v>37</v>
      </c>
      <c r="D39" s="5" t="s">
        <v>428</v>
      </c>
      <c r="E39" s="5" t="s">
        <v>430</v>
      </c>
    </row>
    <row r="40" ht="15.75" customHeight="1">
      <c r="A40" s="7">
        <v>46282.87994133102</v>
      </c>
      <c r="B40" s="5" t="s">
        <v>531</v>
      </c>
      <c r="C40" s="5" t="s">
        <v>441</v>
      </c>
      <c r="D40" s="5" t="s">
        <v>428</v>
      </c>
      <c r="E40" s="5" t="s">
        <v>442</v>
      </c>
    </row>
    <row r="41" ht="15.75" customHeight="1">
      <c r="A41" s="7">
        <v>46282.88078</v>
      </c>
      <c r="B41" s="5" t="s">
        <v>426</v>
      </c>
      <c r="C41" s="5" t="s">
        <v>37</v>
      </c>
      <c r="D41" s="5" t="s">
        <v>428</v>
      </c>
      <c r="E41" s="5" t="s">
        <v>430</v>
      </c>
    </row>
    <row r="42" ht="15.75" customHeight="1">
      <c r="A42" s="7">
        <v>46282.88093951389</v>
      </c>
      <c r="B42" s="5" t="s">
        <v>426</v>
      </c>
      <c r="C42" s="5" t="s">
        <v>37</v>
      </c>
      <c r="D42" s="5" t="s">
        <v>428</v>
      </c>
      <c r="E42" s="5" t="s">
        <v>430</v>
      </c>
    </row>
    <row r="43" ht="15.75" customHeight="1">
      <c r="A43" s="7">
        <v>46282.882391782405</v>
      </c>
      <c r="B43" s="5" t="s">
        <v>460</v>
      </c>
      <c r="C43" s="5" t="s">
        <v>37</v>
      </c>
      <c r="D43" s="5" t="s">
        <v>466</v>
      </c>
      <c r="E43" s="5" t="s">
        <v>558</v>
      </c>
    </row>
    <row r="44" ht="15.75" customHeight="1">
      <c r="A44" s="7">
        <v>46282.88239810185</v>
      </c>
      <c r="B44" s="5" t="s">
        <v>460</v>
      </c>
      <c r="C44" s="5" t="s">
        <v>37</v>
      </c>
      <c r="D44" s="5" t="s">
        <v>461</v>
      </c>
      <c r="E44" s="5" t="s">
        <v>561</v>
      </c>
    </row>
    <row r="45" ht="15.75" customHeight="1">
      <c r="A45" s="7">
        <v>46282.88240645833</v>
      </c>
      <c r="B45" s="5" t="s">
        <v>460</v>
      </c>
      <c r="C45" s="5" t="s">
        <v>37</v>
      </c>
      <c r="D45" s="5" t="s">
        <v>466</v>
      </c>
      <c r="E45" s="5" t="s">
        <v>558</v>
      </c>
    </row>
    <row r="46" ht="15.75" customHeight="1">
      <c r="A46" s="7">
        <v>46282.88242547454</v>
      </c>
      <c r="B46" s="5" t="s">
        <v>460</v>
      </c>
      <c r="C46" s="5" t="s">
        <v>37</v>
      </c>
      <c r="D46" s="5" t="s">
        <v>466</v>
      </c>
      <c r="E46" s="5" t="s">
        <v>558</v>
      </c>
    </row>
    <row r="47" ht="15.75" customHeight="1">
      <c r="A47" s="7">
        <v>46282.88568574074</v>
      </c>
      <c r="B47" s="5" t="s">
        <v>426</v>
      </c>
      <c r="C47" s="5" t="s">
        <v>37</v>
      </c>
      <c r="D47" s="5" t="s">
        <v>428</v>
      </c>
      <c r="E47" s="5" t="s">
        <v>430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